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hkustconnect-my.sharepoint.com/personal/tyeh_connect_ust_hk/Documents/D_backup_1/tina2/AI_Learning/Omdena_EduTech/"/>
    </mc:Choice>
  </mc:AlternateContent>
  <xr:revisionPtr revIDLastSave="1148" documentId="11_F25DC773A252ABDACC104835C91E41EE5ADE58E7" xr6:coauthVersionLast="47" xr6:coauthVersionMax="47" xr10:uidLastSave="{00B1555A-833F-4AD3-9957-8BC459B15022}"/>
  <bookViews>
    <workbookView xWindow="-108" yWindow="-108" windowWidth="23256" windowHeight="12456" xr2:uid="{00000000-000D-0000-FFFF-FFFF00000000}"/>
  </bookViews>
  <sheets>
    <sheet name="Index" sheetId="7" r:id="rId1"/>
    <sheet name="#ofUni" sheetId="5" r:id="rId2"/>
    <sheet name="ProgramByClusterByCat" sheetId="13" r:id="rId3"/>
    <sheet name="EnrolByGenderByCatByLevel" sheetId="11" r:id="rId4"/>
    <sheet name="EnrolbySponsorship" sheetId="17" r:id="rId5"/>
    <sheet name="EnrolByClusterByCat" sheetId="12" r:id="rId6"/>
    <sheet name="GradbyYrByCatByGender" sheetId="8" r:id="rId7"/>
    <sheet name="GradbyGradeByGender" sheetId="10" r:id="rId8"/>
    <sheet name="GradByCatByDomainByGender" sheetId="9" r:id="rId9"/>
    <sheet name="GradByGender" sheetId="14" r:id="rId10"/>
    <sheet name="GradByAward" sheetId="15" r:id="rId11"/>
    <sheet name="GradByGrade" sheetId="16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0" i="16" l="1"/>
  <c r="E50" i="16"/>
  <c r="F50" i="16"/>
  <c r="G50" i="16"/>
  <c r="H50" i="16"/>
  <c r="C50" i="16"/>
  <c r="H4" i="16"/>
  <c r="H5" i="16"/>
  <c r="H6" i="16"/>
  <c r="H7" i="16"/>
  <c r="H8" i="16"/>
  <c r="H9" i="16"/>
  <c r="H10" i="16"/>
  <c r="H11" i="16"/>
  <c r="H12" i="16"/>
  <c r="H13" i="16"/>
  <c r="H14" i="16"/>
  <c r="H15" i="16"/>
  <c r="H16" i="16"/>
  <c r="H17" i="16"/>
  <c r="H18" i="16"/>
  <c r="H19" i="16"/>
  <c r="H20" i="16"/>
  <c r="H21" i="16"/>
  <c r="H22" i="16"/>
  <c r="H23" i="16"/>
  <c r="H24" i="16"/>
  <c r="H25" i="16"/>
  <c r="H26" i="16"/>
  <c r="H27" i="16"/>
  <c r="H28" i="16"/>
  <c r="H29" i="16"/>
  <c r="H30" i="16"/>
  <c r="H31" i="16"/>
  <c r="H32" i="16"/>
  <c r="H33" i="16"/>
  <c r="H34" i="16"/>
  <c r="H35" i="16"/>
  <c r="H36" i="16"/>
  <c r="H37" i="16"/>
  <c r="H38" i="16"/>
  <c r="H39" i="16"/>
  <c r="H40" i="16"/>
  <c r="H41" i="16"/>
  <c r="H42" i="16"/>
  <c r="H43" i="16"/>
  <c r="H44" i="16"/>
  <c r="H45" i="16"/>
  <c r="H46" i="16"/>
  <c r="H47" i="16"/>
  <c r="H48" i="16"/>
  <c r="H49" i="16"/>
  <c r="H3" i="16"/>
  <c r="D50" i="15"/>
  <c r="E50" i="15"/>
  <c r="F50" i="15"/>
  <c r="G50" i="15"/>
  <c r="C50" i="15"/>
  <c r="G33" i="15"/>
  <c r="G34" i="15"/>
  <c r="G35" i="15"/>
  <c r="G36" i="15"/>
  <c r="G37" i="15"/>
  <c r="G38" i="15"/>
  <c r="G39" i="15"/>
  <c r="G40" i="15"/>
  <c r="G41" i="15"/>
  <c r="G42" i="15"/>
  <c r="G43" i="15"/>
  <c r="G44" i="15"/>
  <c r="G45" i="15"/>
  <c r="G46" i="15"/>
  <c r="G47" i="15"/>
  <c r="G48" i="15"/>
  <c r="G49" i="15"/>
  <c r="G4" i="15"/>
  <c r="G5" i="15"/>
  <c r="G6" i="15"/>
  <c r="G7" i="15"/>
  <c r="G8" i="15"/>
  <c r="G9" i="15"/>
  <c r="G10" i="15"/>
  <c r="G11" i="15"/>
  <c r="G12" i="15"/>
  <c r="G13" i="15"/>
  <c r="G14" i="15"/>
  <c r="G15" i="15"/>
  <c r="G16" i="15"/>
  <c r="G17" i="15"/>
  <c r="G18" i="15"/>
  <c r="G19" i="15"/>
  <c r="G20" i="15"/>
  <c r="G21" i="15"/>
  <c r="G22" i="15"/>
  <c r="G23" i="15"/>
  <c r="G24" i="15"/>
  <c r="G25" i="15"/>
  <c r="G26" i="15"/>
  <c r="G27" i="15"/>
  <c r="G28" i="15"/>
  <c r="G29" i="15"/>
  <c r="G30" i="15"/>
  <c r="G31" i="15"/>
  <c r="G32" i="15"/>
  <c r="G3" i="15"/>
  <c r="D50" i="14"/>
  <c r="E50" i="14"/>
  <c r="C50" i="14"/>
  <c r="E4" i="14"/>
  <c r="E5" i="14"/>
  <c r="E6" i="14"/>
  <c r="E7" i="14"/>
  <c r="E8" i="14"/>
  <c r="E9" i="14"/>
  <c r="E10" i="14"/>
  <c r="E11" i="14"/>
  <c r="E12" i="14"/>
  <c r="E13" i="14"/>
  <c r="E14" i="14"/>
  <c r="E15" i="14"/>
  <c r="E16" i="14"/>
  <c r="E17" i="14"/>
  <c r="E18" i="14"/>
  <c r="E19" i="14"/>
  <c r="E20" i="14"/>
  <c r="E21" i="14"/>
  <c r="E22" i="14"/>
  <c r="E23" i="14"/>
  <c r="E24" i="14"/>
  <c r="E25" i="14"/>
  <c r="E26" i="14"/>
  <c r="E27" i="14"/>
  <c r="E28" i="14"/>
  <c r="E29" i="14"/>
  <c r="E30" i="14"/>
  <c r="E31" i="14"/>
  <c r="E32" i="14"/>
  <c r="E33" i="14"/>
  <c r="E34" i="14"/>
  <c r="E35" i="14"/>
  <c r="E36" i="14"/>
  <c r="E37" i="14"/>
  <c r="E38" i="14"/>
  <c r="E39" i="14"/>
  <c r="E40" i="14"/>
  <c r="E41" i="14"/>
  <c r="E42" i="14"/>
  <c r="E43" i="14"/>
  <c r="E44" i="14"/>
  <c r="E45" i="14"/>
  <c r="E46" i="14"/>
  <c r="E47" i="14"/>
  <c r="E48" i="14"/>
  <c r="E49" i="14"/>
  <c r="E3" i="14"/>
  <c r="D63" i="13"/>
  <c r="E63" i="13"/>
  <c r="F63" i="13"/>
  <c r="G63" i="13"/>
  <c r="H63" i="13"/>
  <c r="C63" i="13"/>
  <c r="O4" i="10"/>
  <c r="P4" i="10"/>
  <c r="Q4" i="10"/>
  <c r="R4" i="10"/>
  <c r="O5" i="10"/>
  <c r="P5" i="10"/>
  <c r="Q5" i="10"/>
  <c r="R5" i="10"/>
  <c r="O6" i="10"/>
  <c r="P6" i="10"/>
  <c r="Q6" i="10"/>
  <c r="R6" i="10"/>
  <c r="O7" i="10"/>
  <c r="P7" i="10"/>
  <c r="Q7" i="10"/>
  <c r="R7" i="10"/>
  <c r="N5" i="10"/>
  <c r="N6" i="10"/>
  <c r="N7" i="10"/>
  <c r="N4" i="10"/>
  <c r="M7" i="10"/>
  <c r="M6" i="10"/>
  <c r="M5" i="10"/>
  <c r="M4" i="10"/>
  <c r="L8" i="10"/>
  <c r="K8" i="10"/>
  <c r="M8" i="10" s="1"/>
  <c r="J8" i="10"/>
  <c r="I8" i="10"/>
  <c r="H8" i="10"/>
  <c r="C8" i="10"/>
  <c r="O8" i="10" s="1"/>
  <c r="D8" i="10"/>
  <c r="P8" i="10" s="1"/>
  <c r="E8" i="10"/>
  <c r="Q8" i="10" s="1"/>
  <c r="F8" i="10"/>
  <c r="B8" i="10"/>
  <c r="G5" i="10"/>
  <c r="G6" i="10"/>
  <c r="S6" i="10" s="1"/>
  <c r="G7" i="10"/>
  <c r="G4" i="10"/>
  <c r="D67" i="11"/>
  <c r="E67" i="11"/>
  <c r="F67" i="11"/>
  <c r="G67" i="11"/>
  <c r="H67" i="11"/>
  <c r="I67" i="11"/>
  <c r="J67" i="11"/>
  <c r="K67" i="11"/>
  <c r="L67" i="11"/>
  <c r="M67" i="11"/>
  <c r="N67" i="11"/>
  <c r="O67" i="11"/>
  <c r="C67" i="11"/>
  <c r="S7" i="10" l="1"/>
  <c r="S4" i="10"/>
  <c r="G8" i="10"/>
  <c r="R8" i="10"/>
  <c r="N8" i="10"/>
  <c r="S8" i="10"/>
  <c r="S5" i="10"/>
</calcChain>
</file>

<file path=xl/sharedStrings.xml><?xml version="1.0" encoding="utf-8"?>
<sst xmlns="http://schemas.openxmlformats.org/spreadsheetml/2006/main" count="709" uniqueCount="226">
  <si>
    <t>Total</t>
  </si>
  <si>
    <t>Total</t>
    <phoneticPr fontId="2" type="noConversion"/>
  </si>
  <si>
    <t>Bachelors</t>
  </si>
  <si>
    <t>Masters</t>
  </si>
  <si>
    <t>Doctorate</t>
  </si>
  <si>
    <t>Adventist University of Africa</t>
  </si>
  <si>
    <t>Africa International University</t>
  </si>
  <si>
    <t>Africa Nazarene University</t>
  </si>
  <si>
    <t>Catholic University of Eastern Africa</t>
  </si>
  <si>
    <t>Chuka University</t>
  </si>
  <si>
    <t>Daystar University</t>
  </si>
  <si>
    <t>Egerton University</t>
  </si>
  <si>
    <t>Garissa University</t>
  </si>
  <si>
    <t>Hekima University College</t>
  </si>
  <si>
    <t>Kabarak University</t>
  </si>
  <si>
    <t>Karatina University</t>
  </si>
  <si>
    <t>KCA University</t>
  </si>
  <si>
    <t>Kenya Methodist University</t>
  </si>
  <si>
    <t>Kenyatta University</t>
  </si>
  <si>
    <t>Kibabii University</t>
  </si>
  <si>
    <t>Kirinyaga University</t>
  </si>
  <si>
    <t>Kisii University</t>
  </si>
  <si>
    <t>Laikipia University</t>
  </si>
  <si>
    <t>Marist International University College</t>
  </si>
  <si>
    <t>Mount Kenya University</t>
  </si>
  <si>
    <t>Pan Africa Christian University</t>
  </si>
  <si>
    <t>Pwani University</t>
  </si>
  <si>
    <t>Rongo University</t>
  </si>
  <si>
    <t>Scott Christian University</t>
  </si>
  <si>
    <t>South Eastern Kenya University</t>
  </si>
  <si>
    <t>Strathmore University</t>
  </si>
  <si>
    <t>Taita Taveta University</t>
  </si>
  <si>
    <t>Tangaza University College</t>
  </si>
  <si>
    <t>Technical University of Kenya</t>
  </si>
  <si>
    <t>The Co-operative University of Kenya</t>
  </si>
  <si>
    <t>University of Eldoret</t>
  </si>
  <si>
    <t>University of Embu</t>
  </si>
  <si>
    <t>University of Kabianga</t>
  </si>
  <si>
    <t>University of Nairobi</t>
  </si>
  <si>
    <t>University Category</t>
  </si>
  <si>
    <t>Chartered Public Universities</t>
  </si>
  <si>
    <t>Chartered Private universities</t>
  </si>
  <si>
    <t>Public university Constituent Colleges</t>
  </si>
  <si>
    <t>Private University Constituent Colleges</t>
  </si>
  <si>
    <t>Private Universities with Letters of Interim Authority (LIA)</t>
    <phoneticPr fontId="2" type="noConversion"/>
  </si>
  <si>
    <t>Male</t>
  </si>
  <si>
    <t>Female</t>
  </si>
  <si>
    <t>Public Chartered University</t>
  </si>
  <si>
    <t>Private Chartered University</t>
  </si>
  <si>
    <t>An overview of the number of universities in Kenya by category (e.g., private, public)</t>
    <phoneticPr fontId="2" type="noConversion"/>
  </si>
  <si>
    <t>Table</t>
    <phoneticPr fontId="2" type="noConversion"/>
  </si>
  <si>
    <t>Description</t>
    <phoneticPr fontId="2" type="noConversion"/>
  </si>
  <si>
    <t>Number of students enrolled to each category of universisties by gender</t>
    <phoneticPr fontId="2" type="noConversion"/>
  </si>
  <si>
    <r>
      <rPr>
        <sz val="11"/>
        <rFont val="Times New Roman"/>
        <family val="1"/>
      </rPr>
      <t>Registered Private University</t>
    </r>
  </si>
  <si>
    <r>
      <rPr>
        <b/>
        <sz val="11"/>
        <rFont val="Times New Roman"/>
        <family val="1"/>
      </rPr>
      <t>Total</t>
    </r>
  </si>
  <si>
    <t>Public Chartered Universities</t>
  </si>
  <si>
    <t>Public Constituent Colleges</t>
  </si>
  <si>
    <t>Private Chartered Universities</t>
  </si>
  <si>
    <t>Private Constituent Colleges</t>
  </si>
  <si>
    <t>LIA</t>
    <phoneticPr fontId="2" type="noConversion"/>
  </si>
  <si>
    <t>Diploma</t>
  </si>
  <si>
    <t>Total Male</t>
  </si>
  <si>
    <t>Total Female</t>
  </si>
  <si>
    <t>Grand Total</t>
  </si>
  <si>
    <t>Uzima university</t>
  </si>
  <si>
    <t>Postgraduate Diploma</t>
  </si>
  <si>
    <t>Dedan Kimathi University</t>
  </si>
  <si>
    <t>M aasai M ara University</t>
  </si>
  <si>
    <t>M achakos University</t>
  </si>
  <si>
    <t>M aseno University</t>
  </si>
  <si>
    <t>M eru University of Science and</t>
  </si>
  <si>
    <t>M oi University</t>
  </si>
  <si>
    <t>M ultimedia University of Kenya</t>
  </si>
  <si>
    <t>Technical University of M ombasa</t>
  </si>
  <si>
    <t>Kaimosi Friends University College</t>
  </si>
  <si>
    <t>Tom Mboya University College</t>
  </si>
  <si>
    <t>Great Lake University of Kisumu</t>
  </si>
  <si>
    <t>KAG University</t>
  </si>
  <si>
    <t>Kenya Highlands Evangelical</t>
  </si>
  <si>
    <t>St Pauls University</t>
  </si>
  <si>
    <t>United States International University</t>
  </si>
  <si>
    <t>University of Eastern Africa, Baraton</t>
  </si>
  <si>
    <t>Category</t>
    <phoneticPr fontId="2" type="noConversion"/>
  </si>
  <si>
    <t>Grand Total</t>
    <phoneticPr fontId="2" type="noConversion"/>
  </si>
  <si>
    <t>Number of Universities in Kenya by Category (2016 - 2018, 2023-2024)</t>
    <phoneticPr fontId="2" type="noConversion"/>
  </si>
  <si>
    <t>Universities with Letters of Interim Authority</t>
  </si>
  <si>
    <t>PGD</t>
  </si>
  <si>
    <t>PhD</t>
  </si>
  <si>
    <t>Male</t>
    <phoneticPr fontId="2" type="noConversion"/>
  </si>
  <si>
    <t>Female</t>
    <phoneticPr fontId="2" type="noConversion"/>
  </si>
  <si>
    <t>University Category</t>
    <phoneticPr fontId="2" type="noConversion"/>
  </si>
  <si>
    <t>Year</t>
    <phoneticPr fontId="2" type="noConversion"/>
  </si>
  <si>
    <t>Non graded</t>
  </si>
  <si>
    <t>First class</t>
  </si>
  <si>
    <t>Second upper</t>
  </si>
  <si>
    <t>Second lower</t>
  </si>
  <si>
    <t>Pass</t>
  </si>
  <si>
    <t>Gender</t>
  </si>
  <si>
    <t>Gender</t>
    <phoneticPr fontId="2" type="noConversion"/>
  </si>
  <si>
    <t>Public Universities</t>
  </si>
  <si>
    <t>Private Universities</t>
  </si>
  <si>
    <t>Domain of award</t>
  </si>
  <si>
    <t>%</t>
  </si>
  <si>
    <t>Education</t>
  </si>
  <si>
    <r>
      <rPr>
        <sz val="11"/>
        <rFont val="Calibri"/>
        <family val="2"/>
      </rPr>
      <t>28.1
%</t>
    </r>
  </si>
  <si>
    <t>Arts and Humanities</t>
  </si>
  <si>
    <r>
      <rPr>
        <sz val="11"/>
        <rFont val="Calibri"/>
        <family val="2"/>
      </rPr>
      <t>10.8
%</t>
    </r>
  </si>
  <si>
    <r>
      <rPr>
        <sz val="11"/>
        <rFont val="Calibri"/>
        <family val="2"/>
      </rPr>
      <t>38.0
%</t>
    </r>
  </si>
  <si>
    <r>
      <rPr>
        <sz val="11"/>
        <rFont val="Calibri"/>
        <family val="2"/>
      </rPr>
      <t>Information and Communication
Technology</t>
    </r>
  </si>
  <si>
    <t>Health and Welfare</t>
  </si>
  <si>
    <t>Services</t>
  </si>
  <si>
    <r>
      <rPr>
        <b/>
        <sz val="11"/>
        <rFont val="Calibri"/>
        <family val="2"/>
      </rPr>
      <t>100.0
%</t>
    </r>
  </si>
  <si>
    <t>Engineering, Manufacturing and Construction</t>
  </si>
  <si>
    <t>Engineering, Manufacturing and Construction</t>
    <phoneticPr fontId="2" type="noConversion"/>
  </si>
  <si>
    <t>Agriculture, Forestry, Fisheries and Veterinary</t>
  </si>
  <si>
    <t>Agriculture, Forestry, Fisheries and Veterinary</t>
    <phoneticPr fontId="2" type="noConversion"/>
  </si>
  <si>
    <t>Natural Sciences, Mathematics and Statistics</t>
  </si>
  <si>
    <t>Natural Sciences, Mathematics and Statistics</t>
    <phoneticPr fontId="2" type="noConversion"/>
  </si>
  <si>
    <t>Business, Administration and Law</t>
    <phoneticPr fontId="2" type="noConversion"/>
  </si>
  <si>
    <t>Social Sciences, Journalism and Information</t>
  </si>
  <si>
    <t>Social Sciences, Journalism and Information</t>
    <phoneticPr fontId="2" type="noConversion"/>
  </si>
  <si>
    <t>Graduations by University Category, Domain and Gender (2017)</t>
    <phoneticPr fontId="2" type="noConversion"/>
  </si>
  <si>
    <t>Cluster</t>
  </si>
  <si>
    <t>Public Constituent University Colleges</t>
  </si>
  <si>
    <t>Private Constituent University Colleges</t>
  </si>
  <si>
    <t>LIA</t>
  </si>
  <si>
    <t>Proportion</t>
  </si>
  <si>
    <t>Business and Administration</t>
  </si>
  <si>
    <t>Law</t>
  </si>
  <si>
    <t>Information and Communication Technology</t>
  </si>
  <si>
    <t>GRAND TOTAL</t>
  </si>
  <si>
    <t>Enrolment by Cluster in Public and Private Universities</t>
    <phoneticPr fontId="2" type="noConversion"/>
  </si>
  <si>
    <t>Public Chartered Universities</t>
    <phoneticPr fontId="2" type="noConversion"/>
  </si>
  <si>
    <t>Public Universities Constituent Colleges</t>
  </si>
  <si>
    <t>Private Universities Constituent Colleges</t>
  </si>
  <si>
    <t>Private Universities with LIA</t>
  </si>
  <si>
    <t>Agriculture, Forestry, Fisheries &amp; Veterinary</t>
  </si>
  <si>
    <t>Arts &amp; Humanities</t>
  </si>
  <si>
    <t>Business &amp; Administration</t>
  </si>
  <si>
    <t>Engineering, Manufacturing &amp; Construction</t>
  </si>
  <si>
    <t>Health &amp; Welfare</t>
  </si>
  <si>
    <t>Information Communication &amp; Technology</t>
  </si>
  <si>
    <t>Natural Sciences, Mathematics &amp; Statistics</t>
  </si>
  <si>
    <t>Social Sciences, Journalism &amp; Information</t>
  </si>
  <si>
    <t>Cluster</t>
    <phoneticPr fontId="2" type="noConversion"/>
  </si>
  <si>
    <t>Information and Communication Technology</t>
    <phoneticPr fontId="2" type="noConversion"/>
  </si>
  <si>
    <t>Agriculture, Forestry, Fisheries &amp; Veterinary</t>
    <phoneticPr fontId="2" type="noConversion"/>
  </si>
  <si>
    <t>Education</t>
    <phoneticPr fontId="2" type="noConversion"/>
  </si>
  <si>
    <t>Engineering, Manufacturing &amp; Construction</t>
    <phoneticPr fontId="2" type="noConversion"/>
  </si>
  <si>
    <t>Social Sciences, Journalism &amp; Information</t>
    <phoneticPr fontId="2" type="noConversion"/>
  </si>
  <si>
    <t>Number of Programmes per cluster by university category (2017/2018)</t>
    <phoneticPr fontId="2" type="noConversion"/>
  </si>
  <si>
    <t>Number of university</t>
    <phoneticPr fontId="2" type="noConversion"/>
  </si>
  <si>
    <r>
      <rPr>
        <sz val="11"/>
        <rFont val="Calibri"/>
        <family val="2"/>
      </rPr>
      <t>Jaramogi Oginga Odinga University of
Science and Technology</t>
    </r>
  </si>
  <si>
    <r>
      <rPr>
        <sz val="11"/>
        <rFont val="Calibri"/>
        <family val="2"/>
      </rPr>
      <t>Jomo Kenyatta University of Agriculture
and Technology</t>
    </r>
  </si>
  <si>
    <r>
      <rPr>
        <sz val="11"/>
        <rFont val="Calibri"/>
        <family val="2"/>
      </rPr>
      <t>M asinde M uliro University of Science and
Technology</t>
    </r>
  </si>
  <si>
    <r>
      <rPr>
        <sz val="11"/>
        <rFont val="Calibri"/>
        <family val="2"/>
      </rPr>
      <t>M uranga University of Science and
Technology</t>
    </r>
  </si>
  <si>
    <r>
      <rPr>
        <sz val="11"/>
        <rFont val="Calibri"/>
        <family val="2"/>
      </rPr>
      <t>Alupe University
College</t>
    </r>
  </si>
  <si>
    <r>
      <rPr>
        <sz val="11"/>
        <rFont val="Calibri"/>
        <family val="2"/>
      </rPr>
      <t>Bomet University
College</t>
    </r>
  </si>
  <si>
    <r>
      <rPr>
        <sz val="11"/>
        <rFont val="Calibri"/>
        <family val="2"/>
      </rPr>
      <t>Tharaka University
College</t>
    </r>
  </si>
  <si>
    <r>
      <rPr>
        <sz val="11"/>
        <rFont val="Calibri"/>
        <family val="2"/>
      </rPr>
      <t>Turkana University
College</t>
    </r>
  </si>
  <si>
    <t>UNIVERSITY</t>
    <phoneticPr fontId="2" type="noConversion"/>
  </si>
  <si>
    <t>Enrolment by Gender, Academic Level and Category (2017-2018)</t>
    <phoneticPr fontId="2" type="noConversion"/>
  </si>
  <si>
    <t>Number of students enrolled to each university per gender and academic level</t>
    <phoneticPr fontId="2" type="noConversion"/>
  </si>
  <si>
    <t>Number of students enrolled to each cluster per university category</t>
    <phoneticPr fontId="2" type="noConversion"/>
  </si>
  <si>
    <t>Number of graduates by university category, domain and gender</t>
    <phoneticPr fontId="2" type="noConversion"/>
  </si>
  <si>
    <t>Graduations by University Category, Award Level and Gender (2016-2017)</t>
    <phoneticPr fontId="2" type="noConversion"/>
  </si>
  <si>
    <t>Number of graduates under each university category by award level and gender</t>
    <phoneticPr fontId="2" type="noConversion"/>
  </si>
  <si>
    <t>Graduations by Category, Grade of Award and Gender (2017)</t>
  </si>
  <si>
    <t>Graduations by Category, Grade of Award and Gender (2017)</t>
    <phoneticPr fontId="2" type="noConversion"/>
  </si>
  <si>
    <t>Number of graduates by category, grade of award and gender</t>
    <phoneticPr fontId="2" type="noConversion"/>
  </si>
  <si>
    <t>The Cooperative University of Kenya</t>
  </si>
  <si>
    <t>Dedan Kimathi University of Technology</t>
  </si>
  <si>
    <t>Maasai Mara University</t>
  </si>
  <si>
    <t>Machakos University</t>
  </si>
  <si>
    <t>Maseno University</t>
  </si>
  <si>
    <t>Meru University of Science &amp; Technology</t>
  </si>
  <si>
    <t>Moi University</t>
  </si>
  <si>
    <t>Multimedia University</t>
  </si>
  <si>
    <t>Murang'a University of Technology</t>
  </si>
  <si>
    <t>Technical University of Mombasa</t>
  </si>
  <si>
    <t>Adventist  University</t>
  </si>
  <si>
    <t>Adventist University</t>
  </si>
  <si>
    <t>Africa  International  University</t>
  </si>
  <si>
    <t>Africa  Nazarene  University</t>
  </si>
  <si>
    <t>Catholic  University  of  Eastern  Africa</t>
  </si>
  <si>
    <t>Daystar  University</t>
  </si>
  <si>
    <t>Great  Lakes  University  of  Kisumu</t>
  </si>
  <si>
    <t>Great Lakes University of Kisumu</t>
  </si>
  <si>
    <t>Kabarak  University</t>
  </si>
  <si>
    <t>KAG  East  University</t>
  </si>
  <si>
    <t>KAG - East  University</t>
  </si>
  <si>
    <t>KAG - East University</t>
  </si>
  <si>
    <t>KCA  University</t>
  </si>
  <si>
    <t>Kenya  Highlands  Evangelical  University</t>
  </si>
  <si>
    <t>Kenya Highlands Evangelical University</t>
  </si>
  <si>
    <t>Kenya  Methodist  University</t>
  </si>
  <si>
    <t>Mount  Kenya  University</t>
  </si>
  <si>
    <t>Pan  Africa  Christian  University</t>
  </si>
  <si>
    <t>Scott  Christian  University</t>
  </si>
  <si>
    <t>St.  Paul’s  University</t>
  </si>
  <si>
    <t>St. Paul’s University</t>
  </si>
  <si>
    <t>Strathmore  University</t>
  </si>
  <si>
    <t>United  States  International  University</t>
  </si>
  <si>
    <t>University  of  Eastern  Africa,  Baraton</t>
  </si>
  <si>
    <r>
      <rPr>
        <sz val="12"/>
        <rFont val="Calibri"/>
        <family val="2"/>
      </rPr>
      <t>Jomo Kenyatta University of Agriculture &amp;
Technology</t>
    </r>
  </si>
  <si>
    <r>
      <rPr>
        <sz val="12"/>
        <rFont val="Calibri"/>
        <family val="2"/>
      </rPr>
      <t>Masinde Muliro University of Science &amp;
Technology</t>
    </r>
  </si>
  <si>
    <r>
      <rPr>
        <sz val="12"/>
        <rFont val="Calibri"/>
        <family val="2"/>
      </rPr>
      <t>Masinde Muliro University of Science  &amp;
Technology</t>
    </r>
  </si>
  <si>
    <t>University</t>
    <phoneticPr fontId="2" type="noConversion"/>
  </si>
  <si>
    <t>Jomo Kenyatta University of Agriculture &amp; Technology</t>
    <phoneticPr fontId="2" type="noConversion"/>
  </si>
  <si>
    <t>Jaramogi  Oginga Odinga University of Science &amp; Technology</t>
    <phoneticPr fontId="2" type="noConversion"/>
  </si>
  <si>
    <t>Jaramogi Oginga Odinga University of Science &amp; Technology</t>
    <phoneticPr fontId="2" type="noConversion"/>
  </si>
  <si>
    <t>Masinde Muliro University of Science &amp; Technology</t>
    <phoneticPr fontId="2" type="noConversion"/>
  </si>
  <si>
    <t>Graduation by Grade (2017)</t>
    <phoneticPr fontId="2" type="noConversion"/>
  </si>
  <si>
    <t>Graduation by award (2017)</t>
    <phoneticPr fontId="2" type="noConversion"/>
  </si>
  <si>
    <t>Graduation By Gender (2017)</t>
    <phoneticPr fontId="2" type="noConversion"/>
  </si>
  <si>
    <t>Graduation by University by Gender</t>
    <phoneticPr fontId="2" type="noConversion"/>
  </si>
  <si>
    <t>Graduation by University by Award Level</t>
    <phoneticPr fontId="2" type="noConversion"/>
  </si>
  <si>
    <t>Gradation by University by Grade</t>
    <phoneticPr fontId="2" type="noConversion"/>
  </si>
  <si>
    <t>Enrolment by Sponsorship and University Category</t>
    <phoneticPr fontId="2" type="noConversion"/>
  </si>
  <si>
    <t>Government Sponsored</t>
  </si>
  <si>
    <t>Self-Sponsored</t>
  </si>
  <si>
    <t>Universities with LIA</t>
  </si>
  <si>
    <t>TOTAL</t>
  </si>
  <si>
    <t>Private Chartered Universities</t>
    <phoneticPr fontId="2" type="noConversion"/>
  </si>
  <si>
    <t>Enrolment by Sponsorship and Category</t>
    <phoneticPr fontId="2" type="noConversion"/>
  </si>
  <si>
    <t>Number of students by financial sources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</si>
</sst>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%"/>
    <numFmt numFmtId="177" formatCode="#,##0_ "/>
    <numFmt numFmtId="178" formatCode="#,##0_);[Red]\(#,##0\)"/>
  </numFmts>
  <fonts count="26" x14ac:knownFonts="1">
    <font>
      <sz val="11"/>
      <color theme="1"/>
      <name val="新細明體"/>
      <family val="2"/>
      <scheme val="minor"/>
    </font>
    <font>
      <b/>
      <sz val="11"/>
      <name val="Times New Roman"/>
      <family val="1"/>
    </font>
    <font>
      <sz val="9"/>
      <name val="新細明體"/>
      <family val="3"/>
      <charset val="136"/>
      <scheme val="minor"/>
    </font>
    <font>
      <sz val="11"/>
      <name val="Times New Roman"/>
      <family val="1"/>
    </font>
    <font>
      <sz val="11"/>
      <color rgb="FF000000"/>
      <name val="Calibri"/>
      <family val="2"/>
    </font>
    <font>
      <b/>
      <sz val="11"/>
      <name val="Calibri"/>
      <family val="2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sz val="11"/>
      <name val="Calibri"/>
      <family val="2"/>
    </font>
    <font>
      <u/>
      <sz val="11"/>
      <color theme="10"/>
      <name val="新細明體"/>
      <family val="2"/>
      <scheme val="minor"/>
    </font>
    <font>
      <b/>
      <sz val="11"/>
      <color rgb="FF000000"/>
      <name val="Calibri"/>
      <family val="2"/>
    </font>
    <font>
      <sz val="11"/>
      <color theme="1"/>
      <name val="新細明體"/>
      <family val="2"/>
      <scheme val="minor"/>
    </font>
    <font>
      <b/>
      <sz val="10"/>
      <name val="Calibri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b/>
      <sz val="12"/>
      <name val="Calibri"/>
      <family val="2"/>
    </font>
    <font>
      <b/>
      <sz val="11"/>
      <color theme="1"/>
      <name val="Calibri"/>
      <family val="2"/>
    </font>
    <font>
      <sz val="12"/>
      <name val="Calibri"/>
      <family val="2"/>
    </font>
    <font>
      <b/>
      <sz val="12"/>
      <color theme="1"/>
      <name val="Calibri"/>
      <family val="2"/>
    </font>
    <font>
      <sz val="12"/>
      <color rgb="FF000000"/>
      <name val="Calibri"/>
      <family val="2"/>
    </font>
    <font>
      <b/>
      <sz val="12"/>
      <color theme="0"/>
      <name val="Calibri"/>
      <family val="2"/>
    </font>
    <font>
      <sz val="12"/>
      <color theme="1"/>
      <name val="Calibri"/>
      <family val="2"/>
    </font>
    <font>
      <u/>
      <sz val="11"/>
      <color theme="10"/>
      <name val="Calibri"/>
      <family val="2"/>
    </font>
    <font>
      <b/>
      <sz val="12"/>
      <color rgb="FF000000"/>
      <name val="Calibri"/>
      <family val="2"/>
    </font>
    <font>
      <b/>
      <sz val="14"/>
      <name val="Calibri"/>
      <family val="2"/>
    </font>
    <font>
      <sz val="14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C5DFB3"/>
      </patternFill>
    </fill>
    <fill>
      <patternFill patternType="solid">
        <fgColor rgb="FF92D050"/>
      </patternFill>
    </fill>
    <fill>
      <patternFill patternType="solid">
        <fgColor rgb="FF6FAC46"/>
      </patternFill>
    </fill>
    <fill>
      <patternFill patternType="solid">
        <fgColor rgb="FFE1EED9"/>
      </patternFill>
    </fill>
  </fills>
  <borders count="5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6FAC46"/>
      </left>
      <right/>
      <top style="thin">
        <color rgb="FF6FAC46"/>
      </top>
      <bottom style="thin">
        <color rgb="FF6FAC46"/>
      </bottom>
      <diagonal/>
    </border>
    <border>
      <left/>
      <right/>
      <top style="thin">
        <color rgb="FF6FAC46"/>
      </top>
      <bottom style="thin">
        <color rgb="FF6FAC46"/>
      </bottom>
      <diagonal/>
    </border>
    <border>
      <left style="thin">
        <color rgb="FFA8D08D"/>
      </left>
      <right/>
      <top style="thin">
        <color rgb="FF6FAC46"/>
      </top>
      <bottom style="thin">
        <color rgb="FFA8D08D"/>
      </bottom>
      <diagonal/>
    </border>
    <border>
      <left style="thin">
        <color rgb="FFA8D08D"/>
      </left>
      <right style="thin">
        <color rgb="FFA8D08D"/>
      </right>
      <top/>
      <bottom style="thin">
        <color rgb="FFA8D08D"/>
      </bottom>
      <diagonal/>
    </border>
    <border>
      <left style="thin">
        <color rgb="FFA8D08D"/>
      </left>
      <right style="thin">
        <color rgb="FFA8D08D"/>
      </right>
      <top style="thin">
        <color rgb="FFA8D08D"/>
      </top>
      <bottom style="thin">
        <color rgb="FFA8D08D"/>
      </bottom>
      <diagonal/>
    </border>
    <border>
      <left style="thin">
        <color rgb="FFA8D08D"/>
      </left>
      <right/>
      <top/>
      <bottom style="thin">
        <color rgb="FFA8D08D"/>
      </bottom>
      <diagonal/>
    </border>
    <border>
      <left style="thin">
        <color rgb="FFA8D08D"/>
      </left>
      <right/>
      <top style="thin">
        <color rgb="FFA8D08D"/>
      </top>
      <bottom style="thin">
        <color rgb="FFA8D08D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A8D08D"/>
      </left>
      <right style="thin">
        <color rgb="FFA8D08D"/>
      </right>
      <top style="thin">
        <color rgb="FF6FAC46"/>
      </top>
      <bottom style="thin">
        <color rgb="FFA8D08D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A8D08D"/>
      </right>
      <top style="thin">
        <color rgb="FFA8D08D"/>
      </top>
      <bottom style="thin">
        <color rgb="FFA8D08D"/>
      </bottom>
      <diagonal/>
    </border>
    <border>
      <left style="thin">
        <color rgb="FFA8D08D"/>
      </left>
      <right style="thin">
        <color indexed="64"/>
      </right>
      <top/>
      <bottom style="thin">
        <color rgb="FFA8D08D"/>
      </bottom>
      <diagonal/>
    </border>
    <border>
      <left style="thin">
        <color rgb="FFA8D08D"/>
      </left>
      <right style="thin">
        <color indexed="64"/>
      </right>
      <top style="thin">
        <color rgb="FFA8D08D"/>
      </top>
      <bottom style="thin">
        <color rgb="FFA8D08D"/>
      </bottom>
      <diagonal/>
    </border>
    <border>
      <left style="thin">
        <color indexed="64"/>
      </left>
      <right style="thin">
        <color rgb="FFA8D08D"/>
      </right>
      <top style="thin">
        <color rgb="FFA8D08D"/>
      </top>
      <bottom style="thin">
        <color indexed="64"/>
      </bottom>
      <diagonal/>
    </border>
    <border>
      <left style="thin">
        <color rgb="FFA8D08D"/>
      </left>
      <right/>
      <top style="thin">
        <color rgb="FFA8D08D"/>
      </top>
      <bottom style="thin">
        <color indexed="64"/>
      </bottom>
      <diagonal/>
    </border>
    <border>
      <left style="thin">
        <color rgb="FFA8D08D"/>
      </left>
      <right style="thin">
        <color rgb="FFA8D08D"/>
      </right>
      <top style="thin">
        <color rgb="FFA8D08D"/>
      </top>
      <bottom style="thin">
        <color indexed="64"/>
      </bottom>
      <diagonal/>
    </border>
    <border>
      <left style="thin">
        <color rgb="FFA8D08D"/>
      </left>
      <right style="thin">
        <color indexed="64"/>
      </right>
      <top style="thin">
        <color rgb="FFA8D08D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A8D08D"/>
      </bottom>
      <diagonal/>
    </border>
    <border>
      <left style="thin">
        <color indexed="64"/>
      </left>
      <right style="thin">
        <color indexed="64"/>
      </right>
      <top style="thin">
        <color rgb="FFA8D08D"/>
      </top>
      <bottom style="thin">
        <color rgb="FFA8D08D"/>
      </bottom>
      <diagonal/>
    </border>
    <border>
      <left style="thin">
        <color indexed="64"/>
      </left>
      <right style="thin">
        <color indexed="64"/>
      </right>
      <top style="thin">
        <color rgb="FFA8D08D"/>
      </top>
      <bottom style="thin">
        <color indexed="64"/>
      </bottom>
      <diagonal/>
    </border>
    <border>
      <left style="thin">
        <color indexed="64"/>
      </left>
      <right style="thin">
        <color rgb="FFA8D08D"/>
      </right>
      <top/>
      <bottom style="thin">
        <color rgb="FFA8D08D"/>
      </bottom>
      <diagonal/>
    </border>
    <border>
      <left style="thin">
        <color indexed="64"/>
      </left>
      <right/>
      <top style="thin">
        <color indexed="64"/>
      </top>
      <bottom style="thin">
        <color rgb="FFA8D08D"/>
      </bottom>
      <diagonal/>
    </border>
    <border>
      <left/>
      <right style="thin">
        <color rgb="FFA8D08D"/>
      </right>
      <top style="thin">
        <color indexed="64"/>
      </top>
      <bottom style="thin">
        <color rgb="FFA8D08D"/>
      </bottom>
      <diagonal/>
    </border>
    <border>
      <left style="thin">
        <color rgb="FFA8D08D"/>
      </left>
      <right style="thin">
        <color rgb="FFA8D08D"/>
      </right>
      <top style="thin">
        <color indexed="64"/>
      </top>
      <bottom/>
      <diagonal/>
    </border>
    <border>
      <left style="thin">
        <color rgb="FFA8D08D"/>
      </left>
      <right style="thin">
        <color indexed="64"/>
      </right>
      <top style="thin">
        <color indexed="64"/>
      </top>
      <bottom/>
      <diagonal/>
    </border>
    <border>
      <left style="thin">
        <color rgb="FFA8D08D"/>
      </left>
      <right style="thin">
        <color rgb="FFA8D08D"/>
      </right>
      <top/>
      <bottom style="thin">
        <color indexed="64"/>
      </bottom>
      <diagonal/>
    </border>
    <border>
      <left style="thin">
        <color rgb="FFA8D08D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9" fillId="0" borderId="0" applyNumberFormat="0" applyFill="0" applyBorder="0" applyAlignment="0" applyProtection="0"/>
    <xf numFmtId="9" fontId="11" fillId="0" borderId="0" applyFont="0" applyFill="0" applyBorder="0" applyAlignment="0" applyProtection="0">
      <alignment vertical="center"/>
    </xf>
  </cellStyleXfs>
  <cellXfs count="208">
    <xf numFmtId="0" fontId="0" fillId="0" borderId="0" xfId="0"/>
    <xf numFmtId="0" fontId="5" fillId="0" borderId="0" xfId="0" applyFont="1" applyAlignment="1">
      <alignment vertical="top"/>
    </xf>
    <xf numFmtId="0" fontId="5" fillId="0" borderId="0" xfId="0" applyFont="1" applyAlignment="1">
      <alignment vertical="top" wrapText="1"/>
    </xf>
    <xf numFmtId="0" fontId="6" fillId="0" borderId="0" xfId="0" applyFont="1"/>
    <xf numFmtId="0" fontId="7" fillId="2" borderId="16" xfId="0" applyFont="1" applyFill="1" applyBorder="1" applyAlignment="1">
      <alignment horizontal="left" vertical="top" wrapText="1"/>
    </xf>
    <xf numFmtId="0" fontId="8" fillId="0" borderId="16" xfId="0" applyFont="1" applyBorder="1" applyAlignment="1">
      <alignment horizontal="left" vertical="center" wrapText="1"/>
    </xf>
    <xf numFmtId="1" fontId="4" fillId="0" borderId="16" xfId="0" applyNumberFormat="1" applyFont="1" applyBorder="1" applyAlignment="1">
      <alignment horizontal="center" vertical="center" shrinkToFit="1"/>
    </xf>
    <xf numFmtId="0" fontId="6" fillId="0" borderId="16" xfId="0" applyFont="1" applyBorder="1" applyAlignment="1">
      <alignment horizontal="center" vertical="center"/>
    </xf>
    <xf numFmtId="1" fontId="10" fillId="0" borderId="16" xfId="0" applyNumberFormat="1" applyFont="1" applyBorder="1" applyAlignment="1">
      <alignment horizontal="center" vertical="center" shrinkToFit="1"/>
    </xf>
    <xf numFmtId="1" fontId="7" fillId="2" borderId="16" xfId="0" applyNumberFormat="1" applyFont="1" applyFill="1" applyBorder="1" applyAlignment="1">
      <alignment horizontal="center" vertical="center" shrinkToFit="1"/>
    </xf>
    <xf numFmtId="0" fontId="16" fillId="0" borderId="0" xfId="0" applyFont="1"/>
    <xf numFmtId="0" fontId="6" fillId="0" borderId="0" xfId="0" applyFont="1" applyAlignment="1">
      <alignment vertical="top"/>
    </xf>
    <xf numFmtId="0" fontId="6" fillId="0" borderId="0" xfId="0" applyFont="1" applyAlignment="1">
      <alignment wrapText="1"/>
    </xf>
    <xf numFmtId="0" fontId="8" fillId="0" borderId="0" xfId="0" applyFont="1" applyAlignment="1">
      <alignment horizontal="center" vertical="center"/>
    </xf>
    <xf numFmtId="178" fontId="8" fillId="0" borderId="0" xfId="0" applyNumberFormat="1" applyFont="1"/>
    <xf numFmtId="178" fontId="8" fillId="0" borderId="0" xfId="0" applyNumberFormat="1" applyFont="1" applyAlignment="1">
      <alignment horizontal="center" vertical="center"/>
    </xf>
    <xf numFmtId="178" fontId="8" fillId="0" borderId="0" xfId="0" applyNumberFormat="1" applyFont="1" applyAlignment="1">
      <alignment horizontal="center" vertical="center" shrinkToFit="1"/>
    </xf>
    <xf numFmtId="178" fontId="5" fillId="0" borderId="0" xfId="0" applyNumberFormat="1" applyFont="1"/>
    <xf numFmtId="178" fontId="7" fillId="2" borderId="0" xfId="0" applyNumberFormat="1" applyFont="1" applyFill="1" applyAlignment="1">
      <alignment horizontal="center" vertical="center" wrapText="1"/>
    </xf>
    <xf numFmtId="178" fontId="7" fillId="2" borderId="0" xfId="0" applyNumberFormat="1" applyFont="1" applyFill="1" applyAlignment="1">
      <alignment horizontal="center" vertical="center"/>
    </xf>
    <xf numFmtId="178" fontId="7" fillId="2" borderId="22" xfId="0" applyNumberFormat="1" applyFont="1" applyFill="1" applyBorder="1" applyAlignment="1">
      <alignment horizontal="center" vertical="center" wrapText="1"/>
    </xf>
    <xf numFmtId="178" fontId="7" fillId="2" borderId="23" xfId="0" applyNumberFormat="1" applyFont="1" applyFill="1" applyBorder="1" applyAlignment="1">
      <alignment horizontal="center" vertical="center"/>
    </xf>
    <xf numFmtId="178" fontId="8" fillId="0" borderId="22" xfId="0" applyNumberFormat="1" applyFont="1" applyBorder="1" applyAlignment="1">
      <alignment horizontal="center" vertical="center" shrinkToFit="1"/>
    </xf>
    <xf numFmtId="178" fontId="8" fillId="0" borderId="23" xfId="0" applyNumberFormat="1" applyFont="1" applyBorder="1" applyAlignment="1">
      <alignment horizontal="center" vertical="center"/>
    </xf>
    <xf numFmtId="178" fontId="8" fillId="0" borderId="22" xfId="0" applyNumberFormat="1" applyFont="1" applyBorder="1" applyAlignment="1">
      <alignment horizontal="center" vertical="center"/>
    </xf>
    <xf numFmtId="178" fontId="8" fillId="0" borderId="24" xfId="0" applyNumberFormat="1" applyFont="1" applyBorder="1" applyAlignment="1">
      <alignment horizontal="center" vertical="center" shrinkToFit="1"/>
    </xf>
    <xf numFmtId="178" fontId="8" fillId="0" borderId="25" xfId="0" applyNumberFormat="1" applyFont="1" applyBorder="1" applyAlignment="1">
      <alignment horizontal="center" vertical="center" shrinkToFit="1"/>
    </xf>
    <xf numFmtId="178" fontId="8" fillId="0" borderId="26" xfId="0" applyNumberFormat="1" applyFont="1" applyBorder="1" applyAlignment="1">
      <alignment horizontal="center" vertical="center"/>
    </xf>
    <xf numFmtId="178" fontId="8" fillId="0" borderId="24" xfId="0" applyNumberFormat="1" applyFont="1" applyBorder="1" applyAlignment="1">
      <alignment horizontal="center" vertical="center"/>
    </xf>
    <xf numFmtId="178" fontId="8" fillId="0" borderId="25" xfId="0" applyNumberFormat="1" applyFont="1" applyBorder="1" applyAlignment="1">
      <alignment horizontal="center" vertical="center"/>
    </xf>
    <xf numFmtId="178" fontId="7" fillId="2" borderId="17" xfId="0" applyNumberFormat="1" applyFont="1" applyFill="1" applyBorder="1" applyAlignment="1">
      <alignment horizontal="center" vertical="top"/>
    </xf>
    <xf numFmtId="178" fontId="7" fillId="2" borderId="27" xfId="0" applyNumberFormat="1" applyFont="1" applyFill="1" applyBorder="1" applyAlignment="1">
      <alignment horizontal="center" vertical="center" wrapText="1"/>
    </xf>
    <xf numFmtId="178" fontId="8" fillId="0" borderId="27" xfId="0" applyNumberFormat="1" applyFont="1" applyBorder="1" applyAlignment="1">
      <alignment horizontal="center" vertical="center" wrapText="1"/>
    </xf>
    <xf numFmtId="178" fontId="8" fillId="0" borderId="27" xfId="0" applyNumberFormat="1" applyFont="1" applyBorder="1" applyAlignment="1">
      <alignment horizontal="center" vertical="center"/>
    </xf>
    <xf numFmtId="178" fontId="8" fillId="0" borderId="28" xfId="0" applyNumberFormat="1" applyFont="1" applyBorder="1" applyAlignment="1">
      <alignment horizontal="center" vertical="center"/>
    </xf>
    <xf numFmtId="178" fontId="8" fillId="0" borderId="17" xfId="0" applyNumberFormat="1" applyFont="1" applyBorder="1" applyAlignment="1">
      <alignment horizontal="center" vertical="center" wrapText="1"/>
    </xf>
    <xf numFmtId="178" fontId="8" fillId="0" borderId="19" xfId="0" applyNumberFormat="1" applyFont="1" applyBorder="1" applyAlignment="1">
      <alignment horizontal="center" vertical="center" shrinkToFit="1"/>
    </xf>
    <xf numFmtId="178" fontId="8" fillId="0" borderId="20" xfId="0" applyNumberFormat="1" applyFont="1" applyBorder="1" applyAlignment="1">
      <alignment horizontal="center" vertical="center" shrinkToFit="1"/>
    </xf>
    <xf numFmtId="178" fontId="8" fillId="0" borderId="21" xfId="0" applyNumberFormat="1" applyFont="1" applyBorder="1" applyAlignment="1">
      <alignment horizontal="center" vertical="center"/>
    </xf>
    <xf numFmtId="178" fontId="7" fillId="2" borderId="17" xfId="0" applyNumberFormat="1" applyFont="1" applyFill="1" applyBorder="1" applyAlignment="1">
      <alignment horizontal="center" vertical="center" wrapText="1"/>
    </xf>
    <xf numFmtId="178" fontId="7" fillId="2" borderId="19" xfId="0" applyNumberFormat="1" applyFont="1" applyFill="1" applyBorder="1" applyAlignment="1">
      <alignment horizontal="center" vertical="center" wrapText="1"/>
    </xf>
    <xf numFmtId="178" fontId="7" fillId="2" borderId="20" xfId="0" applyNumberFormat="1" applyFont="1" applyFill="1" applyBorder="1" applyAlignment="1">
      <alignment horizontal="center" vertical="center" wrapText="1"/>
    </xf>
    <xf numFmtId="178" fontId="7" fillId="2" borderId="21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178" fontId="17" fillId="0" borderId="0" xfId="0" applyNumberFormat="1" applyFont="1" applyAlignment="1">
      <alignment horizontal="center" vertical="center" shrinkToFit="1"/>
    </xf>
    <xf numFmtId="0" fontId="20" fillId="2" borderId="0" xfId="0" applyFont="1" applyFill="1" applyAlignment="1">
      <alignment horizontal="center" vertical="center" wrapText="1"/>
    </xf>
    <xf numFmtId="0" fontId="20" fillId="2" borderId="22" xfId="0" applyFont="1" applyFill="1" applyBorder="1" applyAlignment="1">
      <alignment horizontal="center" vertical="center" wrapText="1"/>
    </xf>
    <xf numFmtId="0" fontId="20" fillId="2" borderId="23" xfId="0" applyFont="1" applyFill="1" applyBorder="1" applyAlignment="1">
      <alignment horizontal="center" vertical="center" wrapText="1"/>
    </xf>
    <xf numFmtId="178" fontId="17" fillId="0" borderId="22" xfId="0" applyNumberFormat="1" applyFont="1" applyBorder="1" applyAlignment="1">
      <alignment horizontal="center" vertical="center" shrinkToFit="1"/>
    </xf>
    <xf numFmtId="0" fontId="7" fillId="2" borderId="0" xfId="0" applyFont="1" applyFill="1" applyAlignment="1">
      <alignment horizontal="center" vertical="center"/>
    </xf>
    <xf numFmtId="0" fontId="15" fillId="0" borderId="0" xfId="0" applyFont="1" applyAlignment="1">
      <alignment vertical="top"/>
    </xf>
    <xf numFmtId="177" fontId="4" fillId="6" borderId="10" xfId="0" applyNumberFormat="1" applyFont="1" applyFill="1" applyBorder="1" applyAlignment="1">
      <alignment horizontal="center" vertical="center" shrinkToFit="1"/>
    </xf>
    <xf numFmtId="177" fontId="4" fillId="6" borderId="12" xfId="0" applyNumberFormat="1" applyFont="1" applyFill="1" applyBorder="1" applyAlignment="1">
      <alignment horizontal="center" vertical="center" shrinkToFit="1"/>
    </xf>
    <xf numFmtId="177" fontId="4" fillId="0" borderId="10" xfId="0" applyNumberFormat="1" applyFont="1" applyBorder="1" applyAlignment="1">
      <alignment horizontal="center" vertical="center" shrinkToFit="1"/>
    </xf>
    <xf numFmtId="177" fontId="4" fillId="0" borderId="12" xfId="0" applyNumberFormat="1" applyFont="1" applyBorder="1" applyAlignment="1">
      <alignment horizontal="center" vertical="center" shrinkToFit="1"/>
    </xf>
    <xf numFmtId="177" fontId="4" fillId="6" borderId="29" xfId="0" applyNumberFormat="1" applyFont="1" applyFill="1" applyBorder="1" applyAlignment="1">
      <alignment horizontal="center" vertical="center" shrinkToFit="1"/>
    </xf>
    <xf numFmtId="176" fontId="4" fillId="6" borderId="31" xfId="2" applyNumberFormat="1" applyFont="1" applyFill="1" applyBorder="1" applyAlignment="1">
      <alignment horizontal="center" vertical="center" shrinkToFit="1"/>
    </xf>
    <xf numFmtId="177" fontId="4" fillId="0" borderId="29" xfId="0" applyNumberFormat="1" applyFont="1" applyBorder="1" applyAlignment="1">
      <alignment horizontal="center" vertical="center" shrinkToFit="1"/>
    </xf>
    <xf numFmtId="176" fontId="4" fillId="0" borderId="31" xfId="2" applyNumberFormat="1" applyFont="1" applyBorder="1" applyAlignment="1">
      <alignment horizontal="center" vertical="center" shrinkToFit="1"/>
    </xf>
    <xf numFmtId="177" fontId="10" fillId="6" borderId="32" xfId="0" applyNumberFormat="1" applyFont="1" applyFill="1" applyBorder="1" applyAlignment="1">
      <alignment horizontal="center" vertical="center" shrinkToFit="1"/>
    </xf>
    <xf numFmtId="177" fontId="10" fillId="6" borderId="33" xfId="0" applyNumberFormat="1" applyFont="1" applyFill="1" applyBorder="1" applyAlignment="1">
      <alignment horizontal="center" vertical="center" shrinkToFit="1"/>
    </xf>
    <xf numFmtId="177" fontId="10" fillId="6" borderId="34" xfId="0" applyNumberFormat="1" applyFont="1" applyFill="1" applyBorder="1" applyAlignment="1">
      <alignment horizontal="center" vertical="center" shrinkToFit="1"/>
    </xf>
    <xf numFmtId="176" fontId="10" fillId="6" borderId="35" xfId="2" applyNumberFormat="1" applyFont="1" applyFill="1" applyBorder="1" applyAlignment="1">
      <alignment horizontal="center" vertical="center" shrinkToFit="1"/>
    </xf>
    <xf numFmtId="176" fontId="6" fillId="6" borderId="31" xfId="2" applyNumberFormat="1" applyFont="1" applyFill="1" applyBorder="1" applyAlignment="1">
      <alignment horizontal="center" vertical="center"/>
    </xf>
    <xf numFmtId="176" fontId="6" fillId="0" borderId="31" xfId="2" applyNumberFormat="1" applyFont="1" applyBorder="1" applyAlignment="1">
      <alignment horizontal="center" vertical="center"/>
    </xf>
    <xf numFmtId="176" fontId="6" fillId="6" borderId="35" xfId="2" applyNumberFormat="1" applyFont="1" applyFill="1" applyBorder="1" applyAlignment="1">
      <alignment horizontal="center" vertical="center"/>
    </xf>
    <xf numFmtId="0" fontId="6" fillId="5" borderId="17" xfId="0" applyFont="1" applyFill="1" applyBorder="1" applyAlignment="1">
      <alignment horizontal="left" vertical="center"/>
    </xf>
    <xf numFmtId="0" fontId="8" fillId="6" borderId="37" xfId="0" applyFont="1" applyFill="1" applyBorder="1" applyAlignment="1">
      <alignment horizontal="left" vertical="center"/>
    </xf>
    <xf numFmtId="0" fontId="8" fillId="0" borderId="37" xfId="0" applyFont="1" applyBorder="1" applyAlignment="1">
      <alignment horizontal="left" vertical="center"/>
    </xf>
    <xf numFmtId="0" fontId="6" fillId="0" borderId="37" xfId="0" applyFont="1" applyBorder="1" applyAlignment="1">
      <alignment horizontal="left" vertical="center"/>
    </xf>
    <xf numFmtId="0" fontId="5" fillId="6" borderId="38" xfId="0" applyFont="1" applyFill="1" applyBorder="1" applyAlignment="1">
      <alignment horizontal="left" vertical="center"/>
    </xf>
    <xf numFmtId="0" fontId="8" fillId="6" borderId="36" xfId="0" applyFont="1" applyFill="1" applyBorder="1" applyAlignment="1">
      <alignment horizontal="left" vertical="center"/>
    </xf>
    <xf numFmtId="177" fontId="4" fillId="6" borderId="39" xfId="0" applyNumberFormat="1" applyFont="1" applyFill="1" applyBorder="1" applyAlignment="1">
      <alignment horizontal="center" vertical="center" shrinkToFit="1"/>
    </xf>
    <xf numFmtId="177" fontId="4" fillId="6" borderId="11" xfId="0" applyNumberFormat="1" applyFont="1" applyFill="1" applyBorder="1" applyAlignment="1">
      <alignment horizontal="center" vertical="center" shrinkToFit="1"/>
    </xf>
    <xf numFmtId="177" fontId="4" fillId="6" borderId="9" xfId="0" applyNumberFormat="1" applyFont="1" applyFill="1" applyBorder="1" applyAlignment="1">
      <alignment horizontal="center" vertical="center" shrinkToFit="1"/>
    </xf>
    <xf numFmtId="176" fontId="4" fillId="6" borderId="30" xfId="2" applyNumberFormat="1" applyFont="1" applyFill="1" applyBorder="1" applyAlignment="1">
      <alignment horizontal="center" vertical="center" shrinkToFit="1"/>
    </xf>
    <xf numFmtId="176" fontId="6" fillId="6" borderId="30" xfId="2" applyNumberFormat="1" applyFont="1" applyFill="1" applyBorder="1" applyAlignment="1">
      <alignment horizontal="center" vertical="center"/>
    </xf>
    <xf numFmtId="0" fontId="8" fillId="0" borderId="32" xfId="0" applyFont="1" applyBorder="1" applyAlignment="1">
      <alignment horizontal="center" vertical="center"/>
    </xf>
    <xf numFmtId="0" fontId="8" fillId="0" borderId="33" xfId="0" applyFont="1" applyBorder="1" applyAlignment="1">
      <alignment horizontal="center" vertical="center"/>
    </xf>
    <xf numFmtId="0" fontId="15" fillId="0" borderId="0" xfId="0" applyFont="1" applyAlignment="1">
      <alignment vertical="top" wrapText="1"/>
    </xf>
    <xf numFmtId="0" fontId="6" fillId="0" borderId="0" xfId="0" applyFont="1" applyAlignment="1">
      <alignment horizontal="left" vertical="top"/>
    </xf>
    <xf numFmtId="0" fontId="12" fillId="0" borderId="18" xfId="0" applyFont="1" applyBorder="1" applyAlignment="1">
      <alignment horizontal="left" vertical="top"/>
    </xf>
    <xf numFmtId="0" fontId="12" fillId="0" borderId="10" xfId="0" applyFont="1" applyBorder="1" applyAlignment="1">
      <alignment horizontal="left" vertical="top"/>
    </xf>
    <xf numFmtId="0" fontId="12" fillId="6" borderId="10" xfId="0" applyFont="1" applyFill="1" applyBorder="1" applyAlignment="1">
      <alignment horizontal="left" vertical="top"/>
    </xf>
    <xf numFmtId="0" fontId="12" fillId="3" borderId="6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177" fontId="14" fillId="0" borderId="8" xfId="0" applyNumberFormat="1" applyFont="1" applyBorder="1" applyAlignment="1">
      <alignment horizontal="center" vertical="center" shrinkToFit="1"/>
    </xf>
    <xf numFmtId="177" fontId="14" fillId="0" borderId="12" xfId="0" applyNumberFormat="1" applyFont="1" applyBorder="1" applyAlignment="1">
      <alignment horizontal="center" vertical="center" shrinkToFit="1"/>
    </xf>
    <xf numFmtId="177" fontId="13" fillId="6" borderId="12" xfId="0" applyNumberFormat="1" applyFont="1" applyFill="1" applyBorder="1" applyAlignment="1">
      <alignment horizontal="center" vertical="center" shrinkToFit="1"/>
    </xf>
    <xf numFmtId="0" fontId="12" fillId="3" borderId="7" xfId="0" applyFont="1" applyFill="1" applyBorder="1" applyAlignment="1">
      <alignment horizontal="center" vertical="center" wrapText="1"/>
    </xf>
    <xf numFmtId="177" fontId="14" fillId="0" borderId="8" xfId="0" applyNumberFormat="1" applyFont="1" applyBorder="1" applyAlignment="1">
      <alignment horizontal="center" vertical="center" wrapText="1" shrinkToFit="1"/>
    </xf>
    <xf numFmtId="177" fontId="14" fillId="0" borderId="12" xfId="0" applyNumberFormat="1" applyFont="1" applyBorder="1" applyAlignment="1">
      <alignment horizontal="center" vertical="center" wrapText="1" shrinkToFit="1"/>
    </xf>
    <xf numFmtId="177" fontId="13" fillId="6" borderId="12" xfId="0" applyNumberFormat="1" applyFont="1" applyFill="1" applyBorder="1" applyAlignment="1">
      <alignment horizontal="center" vertical="center" wrapText="1" shrinkToFit="1"/>
    </xf>
    <xf numFmtId="9" fontId="14" fillId="0" borderId="8" xfId="0" applyNumberFormat="1" applyFont="1" applyBorder="1" applyAlignment="1">
      <alignment horizontal="center" vertical="top" shrinkToFit="1"/>
    </xf>
    <xf numFmtId="9" fontId="14" fillId="0" borderId="12" xfId="0" applyNumberFormat="1" applyFont="1" applyBorder="1" applyAlignment="1">
      <alignment horizontal="center" vertical="top" shrinkToFit="1"/>
    </xf>
    <xf numFmtId="9" fontId="13" fillId="6" borderId="12" xfId="0" applyNumberFormat="1" applyFont="1" applyFill="1" applyBorder="1" applyAlignment="1">
      <alignment horizontal="center" vertical="top" shrinkToFit="1"/>
    </xf>
    <xf numFmtId="0" fontId="18" fillId="0" borderId="0" xfId="0" applyFont="1" applyAlignment="1">
      <alignment horizontal="left" vertical="center"/>
    </xf>
    <xf numFmtId="0" fontId="21" fillId="0" borderId="0" xfId="0" applyFont="1" applyAlignment="1">
      <alignment horizontal="center" vertical="center"/>
    </xf>
    <xf numFmtId="0" fontId="21" fillId="0" borderId="0" xfId="0" applyFont="1"/>
    <xf numFmtId="0" fontId="21" fillId="0" borderId="19" xfId="0" applyFont="1" applyBorder="1" applyAlignment="1">
      <alignment horizontal="center" vertical="center" wrapText="1"/>
    </xf>
    <xf numFmtId="0" fontId="20" fillId="2" borderId="46" xfId="0" applyFont="1" applyFill="1" applyBorder="1" applyAlignment="1">
      <alignment horizontal="center" vertical="center" wrapText="1"/>
    </xf>
    <xf numFmtId="0" fontId="20" fillId="2" borderId="47" xfId="0" applyFont="1" applyFill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177" fontId="19" fillId="0" borderId="1" xfId="0" applyNumberFormat="1" applyFont="1" applyBorder="1" applyAlignment="1">
      <alignment horizontal="center" vertical="center" shrinkToFit="1"/>
    </xf>
    <xf numFmtId="0" fontId="20" fillId="2" borderId="51" xfId="0" applyFont="1" applyFill="1" applyBorder="1" applyAlignment="1">
      <alignment horizontal="center" vertical="center" wrapText="1"/>
    </xf>
    <xf numFmtId="177" fontId="20" fillId="2" borderId="51" xfId="0" applyNumberFormat="1" applyFont="1" applyFill="1" applyBorder="1" applyAlignment="1">
      <alignment horizontal="center" vertical="center" shrinkToFit="1"/>
    </xf>
    <xf numFmtId="177" fontId="20" fillId="2" borderId="52" xfId="0" applyNumberFormat="1" applyFont="1" applyFill="1" applyBorder="1" applyAlignment="1">
      <alignment horizontal="center" vertical="center" shrinkToFit="1"/>
    </xf>
    <xf numFmtId="0" fontId="17" fillId="0" borderId="46" xfId="0" applyFont="1" applyBorder="1" applyAlignment="1">
      <alignment horizontal="center" vertical="center" wrapText="1"/>
    </xf>
    <xf numFmtId="177" fontId="19" fillId="0" borderId="46" xfId="0" applyNumberFormat="1" applyFont="1" applyBorder="1" applyAlignment="1">
      <alignment horizontal="center" vertical="center" shrinkToFit="1"/>
    </xf>
    <xf numFmtId="0" fontId="17" fillId="0" borderId="1" xfId="0" applyFont="1" applyBorder="1" applyAlignment="1">
      <alignment horizontal="center" vertical="center" wrapText="1"/>
    </xf>
    <xf numFmtId="0" fontId="21" fillId="0" borderId="0" xfId="0" applyFont="1" applyAlignment="1">
      <alignment horizontal="center" vertical="center" wrapText="1"/>
    </xf>
    <xf numFmtId="177" fontId="20" fillId="2" borderId="49" xfId="0" applyNumberFormat="1" applyFont="1" applyFill="1" applyBorder="1" applyAlignment="1">
      <alignment horizontal="center" vertical="center" shrinkToFit="1"/>
    </xf>
    <xf numFmtId="177" fontId="20" fillId="2" borderId="47" xfId="0" applyNumberFormat="1" applyFont="1" applyFill="1" applyBorder="1" applyAlignment="1">
      <alignment horizontal="center" vertical="center" shrinkToFit="1"/>
    </xf>
    <xf numFmtId="177" fontId="20" fillId="2" borderId="0" xfId="0" applyNumberFormat="1" applyFont="1" applyFill="1" applyAlignment="1">
      <alignment horizontal="center" vertical="center"/>
    </xf>
    <xf numFmtId="0" fontId="6" fillId="4" borderId="1" xfId="0" applyFont="1" applyFill="1" applyBorder="1" applyAlignment="1">
      <alignment horizontal="left" vertical="top" wrapText="1"/>
    </xf>
    <xf numFmtId="0" fontId="6" fillId="4" borderId="3" xfId="0" applyFont="1" applyFill="1" applyBorder="1" applyAlignment="1">
      <alignment horizontal="left" vertical="top" wrapText="1"/>
    </xf>
    <xf numFmtId="0" fontId="8" fillId="4" borderId="1" xfId="0" applyFont="1" applyFill="1" applyBorder="1" applyAlignment="1">
      <alignment horizontal="left" vertical="top" wrapText="1"/>
    </xf>
    <xf numFmtId="0" fontId="8" fillId="4" borderId="2" xfId="0" applyFont="1" applyFill="1" applyBorder="1" applyAlignment="1">
      <alignment horizontal="left" vertical="top" wrapText="1"/>
    </xf>
    <xf numFmtId="0" fontId="8" fillId="4" borderId="1" xfId="0" applyFont="1" applyFill="1" applyBorder="1" applyAlignment="1">
      <alignment horizontal="center" vertical="top" wrapText="1"/>
    </xf>
    <xf numFmtId="0" fontId="8" fillId="0" borderId="3" xfId="0" applyFont="1" applyBorder="1" applyAlignment="1">
      <alignment horizontal="left" vertical="center" wrapText="1"/>
    </xf>
    <xf numFmtId="177" fontId="4" fillId="0" borderId="4" xfId="0" applyNumberFormat="1" applyFont="1" applyBorder="1" applyAlignment="1">
      <alignment horizontal="left" vertical="center" shrinkToFit="1"/>
    </xf>
    <xf numFmtId="177" fontId="4" fillId="0" borderId="1" xfId="0" applyNumberFormat="1" applyFont="1" applyBorder="1" applyAlignment="1">
      <alignment horizontal="left" vertical="center" shrinkToFit="1"/>
    </xf>
    <xf numFmtId="177" fontId="4" fillId="0" borderId="3" xfId="0" applyNumberFormat="1" applyFont="1" applyBorder="1" applyAlignment="1">
      <alignment horizontal="left" vertical="center" shrinkToFit="1"/>
    </xf>
    <xf numFmtId="0" fontId="6" fillId="0" borderId="3" xfId="0" applyFont="1" applyBorder="1" applyAlignment="1">
      <alignment horizontal="left" vertical="center" wrapText="1"/>
    </xf>
    <xf numFmtId="0" fontId="6" fillId="0" borderId="16" xfId="0" applyFont="1" applyBorder="1" applyAlignment="1">
      <alignment horizontal="left" vertical="center"/>
    </xf>
    <xf numFmtId="1" fontId="4" fillId="0" borderId="0" xfId="0" applyNumberFormat="1" applyFont="1" applyAlignment="1">
      <alignment vertical="top" shrinkToFit="1"/>
    </xf>
    <xf numFmtId="1" fontId="4" fillId="0" borderId="0" xfId="0" applyNumberFormat="1" applyFont="1" applyAlignment="1">
      <alignment vertical="center" shrinkToFit="1"/>
    </xf>
    <xf numFmtId="0" fontId="8" fillId="0" borderId="13" xfId="0" applyFont="1" applyBorder="1" applyAlignment="1">
      <alignment horizontal="left" vertical="center" wrapText="1"/>
    </xf>
    <xf numFmtId="0" fontId="6" fillId="0" borderId="17" xfId="0" applyFont="1" applyBorder="1" applyAlignment="1">
      <alignment horizontal="left" vertical="center"/>
    </xf>
    <xf numFmtId="177" fontId="4" fillId="0" borderId="14" xfId="0" applyNumberFormat="1" applyFont="1" applyBorder="1" applyAlignment="1">
      <alignment horizontal="left" vertical="center" shrinkToFit="1"/>
    </xf>
    <xf numFmtId="177" fontId="4" fillId="0" borderId="2" xfId="0" applyNumberFormat="1" applyFont="1" applyBorder="1" applyAlignment="1">
      <alignment horizontal="left" vertical="center" shrinkToFit="1"/>
    </xf>
    <xf numFmtId="177" fontId="4" fillId="0" borderId="13" xfId="0" applyNumberFormat="1" applyFont="1" applyBorder="1" applyAlignment="1">
      <alignment horizontal="left" vertical="center" shrinkToFit="1"/>
    </xf>
    <xf numFmtId="177" fontId="6" fillId="0" borderId="16" xfId="0" applyNumberFormat="1" applyFont="1" applyBorder="1" applyAlignment="1">
      <alignment horizontal="center" vertical="center"/>
    </xf>
    <xf numFmtId="0" fontId="7" fillId="2" borderId="0" xfId="0" applyFont="1" applyFill="1"/>
    <xf numFmtId="0" fontId="22" fillId="0" borderId="0" xfId="1" applyFont="1"/>
    <xf numFmtId="0" fontId="22" fillId="0" borderId="0" xfId="1" applyFont="1" applyFill="1" applyAlignment="1">
      <alignment horizontal="left" vertical="center"/>
    </xf>
    <xf numFmtId="0" fontId="22" fillId="0" borderId="0" xfId="1" applyFont="1" applyAlignment="1">
      <alignment vertical="top"/>
    </xf>
    <xf numFmtId="178" fontId="22" fillId="0" borderId="0" xfId="1" applyNumberFormat="1" applyFont="1" applyFill="1" applyBorder="1" applyAlignment="1"/>
    <xf numFmtId="0" fontId="22" fillId="0" borderId="0" xfId="1" applyFont="1" applyFill="1" applyBorder="1" applyAlignment="1">
      <alignment horizontal="left" vertical="center"/>
    </xf>
    <xf numFmtId="0" fontId="20" fillId="2" borderId="53" xfId="0" applyFont="1" applyFill="1" applyBorder="1" applyAlignment="1">
      <alignment horizontal="center" vertical="center" wrapText="1"/>
    </xf>
    <xf numFmtId="0" fontId="20" fillId="2" borderId="48" xfId="0" applyFont="1" applyFill="1" applyBorder="1" applyAlignment="1">
      <alignment horizontal="center" vertical="center" wrapText="1"/>
    </xf>
    <xf numFmtId="0" fontId="20" fillId="2" borderId="50" xfId="0" applyFont="1" applyFill="1" applyBorder="1" applyAlignment="1">
      <alignment horizontal="center" vertical="center" wrapText="1"/>
    </xf>
    <xf numFmtId="0" fontId="20" fillId="2" borderId="20" xfId="0" applyFont="1" applyFill="1" applyBorder="1" applyAlignment="1">
      <alignment horizontal="center" vertical="center"/>
    </xf>
    <xf numFmtId="0" fontId="8" fillId="4" borderId="2" xfId="0" applyFont="1" applyFill="1" applyBorder="1" applyAlignment="1">
      <alignment horizontal="left" vertical="center" wrapText="1"/>
    </xf>
    <xf numFmtId="0" fontId="8" fillId="4" borderId="5" xfId="0" applyFont="1" applyFill="1" applyBorder="1" applyAlignment="1">
      <alignment horizontal="left" vertical="center" wrapText="1"/>
    </xf>
    <xf numFmtId="0" fontId="8" fillId="4" borderId="13" xfId="0" applyFont="1" applyFill="1" applyBorder="1" applyAlignment="1">
      <alignment horizontal="left" vertical="center" wrapText="1"/>
    </xf>
    <xf numFmtId="0" fontId="8" fillId="4" borderId="15" xfId="0" applyFont="1" applyFill="1" applyBorder="1" applyAlignment="1">
      <alignment horizontal="left" vertical="center" wrapText="1"/>
    </xf>
    <xf numFmtId="0" fontId="8" fillId="4" borderId="3" xfId="0" applyFont="1" applyFill="1" applyBorder="1" applyAlignment="1">
      <alignment horizontal="left" wrapText="1"/>
    </xf>
    <xf numFmtId="0" fontId="8" fillId="4" borderId="4" xfId="0" applyFont="1" applyFill="1" applyBorder="1" applyAlignment="1">
      <alignment horizontal="left" wrapText="1"/>
    </xf>
    <xf numFmtId="0" fontId="8" fillId="4" borderId="3" xfId="0" applyFont="1" applyFill="1" applyBorder="1" applyAlignment="1">
      <alignment horizontal="left" vertical="top" wrapText="1"/>
    </xf>
    <xf numFmtId="0" fontId="8" fillId="4" borderId="4" xfId="0" applyFont="1" applyFill="1" applyBorder="1" applyAlignment="1">
      <alignment horizontal="left" vertical="top" wrapText="1"/>
    </xf>
    <xf numFmtId="0" fontId="8" fillId="4" borderId="2" xfId="0" applyFont="1" applyFill="1" applyBorder="1" applyAlignment="1">
      <alignment horizontal="left" wrapText="1"/>
    </xf>
    <xf numFmtId="0" fontId="8" fillId="4" borderId="5" xfId="0" applyFont="1" applyFill="1" applyBorder="1" applyAlignment="1">
      <alignment horizontal="left" wrapText="1"/>
    </xf>
    <xf numFmtId="49" fontId="7" fillId="2" borderId="19" xfId="0" applyNumberFormat="1" applyFont="1" applyFill="1" applyBorder="1" applyAlignment="1">
      <alignment horizontal="center" vertical="center" wrapText="1"/>
    </xf>
    <xf numFmtId="49" fontId="7" fillId="2" borderId="20" xfId="0" applyNumberFormat="1" applyFont="1" applyFill="1" applyBorder="1" applyAlignment="1">
      <alignment horizontal="center" vertical="center" wrapText="1"/>
    </xf>
    <xf numFmtId="49" fontId="7" fillId="2" borderId="21" xfId="0" applyNumberFormat="1" applyFont="1" applyFill="1" applyBorder="1" applyAlignment="1">
      <alignment horizontal="center" vertical="center" wrapText="1"/>
    </xf>
    <xf numFmtId="178" fontId="7" fillId="2" borderId="17" xfId="0" applyNumberFormat="1" applyFont="1" applyFill="1" applyBorder="1" applyAlignment="1">
      <alignment horizontal="center" vertical="center"/>
    </xf>
    <xf numFmtId="178" fontId="7" fillId="2" borderId="27" xfId="0" applyNumberFormat="1" applyFont="1" applyFill="1" applyBorder="1" applyAlignment="1">
      <alignment horizontal="center" vertical="center"/>
    </xf>
    <xf numFmtId="178" fontId="7" fillId="2" borderId="28" xfId="0" applyNumberFormat="1" applyFont="1" applyFill="1" applyBorder="1" applyAlignment="1">
      <alignment horizontal="center" vertical="center"/>
    </xf>
    <xf numFmtId="0" fontId="7" fillId="2" borderId="19" xfId="0" applyFont="1" applyFill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21" xfId="0" applyFont="1" applyFill="1" applyBorder="1" applyAlignment="1">
      <alignment horizontal="center" vertical="center"/>
    </xf>
    <xf numFmtId="0" fontId="8" fillId="6" borderId="40" xfId="0" applyFont="1" applyFill="1" applyBorder="1" applyAlignment="1">
      <alignment horizontal="center" vertical="center"/>
    </xf>
    <xf numFmtId="0" fontId="8" fillId="6" borderId="41" xfId="0" applyFont="1" applyFill="1" applyBorder="1" applyAlignment="1">
      <alignment horizontal="center" vertical="center"/>
    </xf>
    <xf numFmtId="0" fontId="8" fillId="6" borderId="42" xfId="0" applyFont="1" applyFill="1" applyBorder="1" applyAlignment="1">
      <alignment horizontal="center" vertical="center"/>
    </xf>
    <xf numFmtId="0" fontId="8" fillId="6" borderId="44" xfId="0" applyFont="1" applyFill="1" applyBorder="1" applyAlignment="1">
      <alignment horizontal="center" vertical="center"/>
    </xf>
    <xf numFmtId="0" fontId="8" fillId="6" borderId="43" xfId="0" applyFont="1" applyFill="1" applyBorder="1" applyAlignment="1">
      <alignment horizontal="center" vertical="center"/>
    </xf>
    <xf numFmtId="0" fontId="8" fillId="6" borderId="45" xfId="0" applyFont="1" applyFill="1" applyBorder="1" applyAlignment="1">
      <alignment horizontal="center" vertical="center"/>
    </xf>
    <xf numFmtId="0" fontId="5" fillId="5" borderId="19" xfId="0" applyFont="1" applyFill="1" applyBorder="1" applyAlignment="1">
      <alignment horizontal="center" vertical="center"/>
    </xf>
    <xf numFmtId="0" fontId="5" fillId="5" borderId="20" xfId="0" applyFont="1" applyFill="1" applyBorder="1" applyAlignment="1">
      <alignment horizontal="center" vertical="center"/>
    </xf>
    <xf numFmtId="0" fontId="5" fillId="5" borderId="21" xfId="0" applyFont="1" applyFill="1" applyBorder="1" applyAlignment="1">
      <alignment horizontal="center" vertical="center"/>
    </xf>
    <xf numFmtId="0" fontId="5" fillId="6" borderId="17" xfId="0" applyFont="1" applyFill="1" applyBorder="1" applyAlignment="1">
      <alignment horizontal="center" vertical="center"/>
    </xf>
    <xf numFmtId="0" fontId="5" fillId="6" borderId="28" xfId="0" applyFont="1" applyFill="1" applyBorder="1" applyAlignment="1">
      <alignment horizontal="center" vertical="center"/>
    </xf>
    <xf numFmtId="0" fontId="15" fillId="0" borderId="0" xfId="0" applyFont="1" applyFill="1" applyBorder="1" applyAlignment="1">
      <alignment vertical="top"/>
    </xf>
    <xf numFmtId="0" fontId="21" fillId="0" borderId="0" xfId="0" applyFont="1" applyFill="1" applyBorder="1" applyAlignment="1"/>
    <xf numFmtId="0" fontId="21" fillId="0" borderId="0" xfId="0" applyFont="1" applyFill="1" applyBorder="1" applyAlignment="1">
      <alignment horizontal="left" vertical="top"/>
    </xf>
    <xf numFmtId="1" fontId="19" fillId="0" borderId="0" xfId="0" applyNumberFormat="1" applyFont="1" applyFill="1" applyBorder="1" applyAlignment="1">
      <alignment vertical="top" shrinkToFit="1"/>
    </xf>
    <xf numFmtId="0" fontId="21" fillId="0" borderId="0" xfId="0" applyFont="1" applyFill="1" applyBorder="1"/>
    <xf numFmtId="0" fontId="15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 vertical="center"/>
    </xf>
    <xf numFmtId="0" fontId="17" fillId="0" borderId="0" xfId="0" applyFont="1" applyFill="1" applyBorder="1" applyAlignment="1">
      <alignment horizontal="center" vertical="center"/>
    </xf>
    <xf numFmtId="0" fontId="17" fillId="0" borderId="0" xfId="0" applyFont="1" applyFill="1" applyBorder="1" applyAlignment="1">
      <alignment horizontal="center" vertical="center" wrapText="1"/>
    </xf>
    <xf numFmtId="0" fontId="24" fillId="0" borderId="0" xfId="0" applyFont="1" applyFill="1" applyBorder="1" applyAlignment="1">
      <alignment horizontal="left" vertical="center"/>
    </xf>
    <xf numFmtId="0" fontId="25" fillId="0" borderId="0" xfId="0" applyFont="1" applyFill="1" applyBorder="1" applyAlignment="1">
      <alignment horizontal="left"/>
    </xf>
    <xf numFmtId="0" fontId="25" fillId="0" borderId="0" xfId="0" applyFont="1" applyFill="1" applyBorder="1" applyAlignment="1">
      <alignment horizontal="left" vertical="top"/>
    </xf>
    <xf numFmtId="178" fontId="15" fillId="0" borderId="0" xfId="0" applyNumberFormat="1" applyFont="1" applyFill="1" applyBorder="1" applyAlignment="1">
      <alignment horizontal="center" vertical="center"/>
    </xf>
    <xf numFmtId="178" fontId="19" fillId="0" borderId="0" xfId="0" applyNumberFormat="1" applyFont="1" applyFill="1" applyBorder="1" applyAlignment="1">
      <alignment horizontal="center" vertical="center" shrinkToFit="1"/>
    </xf>
    <xf numFmtId="178" fontId="23" fillId="0" borderId="0" xfId="0" applyNumberFormat="1" applyFont="1" applyFill="1" applyBorder="1" applyAlignment="1">
      <alignment horizontal="center" vertical="center" shrinkToFit="1"/>
    </xf>
    <xf numFmtId="178" fontId="21" fillId="0" borderId="0" xfId="0" applyNumberFormat="1" applyFont="1" applyFill="1" applyBorder="1" applyAlignment="1">
      <alignment horizontal="center" vertical="center"/>
    </xf>
    <xf numFmtId="178" fontId="24" fillId="0" borderId="0" xfId="0" applyNumberFormat="1" applyFont="1" applyFill="1" applyBorder="1" applyAlignment="1">
      <alignment horizontal="center" vertical="center"/>
    </xf>
    <xf numFmtId="178" fontId="25" fillId="0" borderId="0" xfId="0" applyNumberFormat="1" applyFont="1" applyFill="1" applyBorder="1" applyAlignment="1">
      <alignment horizontal="center" vertical="center"/>
    </xf>
    <xf numFmtId="0" fontId="20" fillId="2" borderId="0" xfId="0" applyFont="1" applyFill="1" applyBorder="1" applyAlignment="1">
      <alignment horizontal="center" vertical="center"/>
    </xf>
    <xf numFmtId="178" fontId="20" fillId="2" borderId="0" xfId="0" applyNumberFormat="1" applyFont="1" applyFill="1" applyBorder="1" applyAlignment="1">
      <alignment horizontal="center" vertical="center"/>
    </xf>
    <xf numFmtId="178" fontId="6" fillId="0" borderId="0" xfId="0" applyNumberFormat="1" applyFont="1" applyAlignment="1">
      <alignment horizontal="center" vertical="center"/>
    </xf>
    <xf numFmtId="0" fontId="9" fillId="0" borderId="0" xfId="1"/>
    <xf numFmtId="178" fontId="12" fillId="4" borderId="3" xfId="0" applyNumberFormat="1" applyFont="1" applyFill="1" applyBorder="1" applyAlignment="1">
      <alignment vertical="center"/>
    </xf>
    <xf numFmtId="178" fontId="12" fillId="4" borderId="54" xfId="0" applyNumberFormat="1" applyFont="1" applyFill="1" applyBorder="1" applyAlignment="1">
      <alignment vertical="center"/>
    </xf>
    <xf numFmtId="178" fontId="12" fillId="4" borderId="4" xfId="0" applyNumberFormat="1" applyFont="1" applyFill="1" applyBorder="1" applyAlignment="1">
      <alignment vertical="center"/>
    </xf>
    <xf numFmtId="178" fontId="12" fillId="4" borderId="54" xfId="0" applyNumberFormat="1" applyFont="1" applyFill="1" applyBorder="1" applyAlignment="1">
      <alignment horizontal="center" vertical="center"/>
    </xf>
    <xf numFmtId="178" fontId="12" fillId="4" borderId="4" xfId="0" applyNumberFormat="1" applyFont="1" applyFill="1" applyBorder="1" applyAlignment="1">
      <alignment horizontal="center" vertical="center"/>
    </xf>
    <xf numFmtId="178" fontId="12" fillId="4" borderId="2" xfId="0" applyNumberFormat="1" applyFont="1" applyFill="1" applyBorder="1" applyAlignment="1">
      <alignment horizontal="center" vertical="center"/>
    </xf>
    <xf numFmtId="178" fontId="12" fillId="4" borderId="1" xfId="0" applyNumberFormat="1" applyFont="1" applyFill="1" applyBorder="1" applyAlignment="1">
      <alignment horizontal="center" vertical="center"/>
    </xf>
    <xf numFmtId="178" fontId="12" fillId="0" borderId="1" xfId="0" applyNumberFormat="1" applyFont="1" applyBorder="1" applyAlignment="1">
      <alignment horizontal="center" vertical="center"/>
    </xf>
    <xf numFmtId="178" fontId="4" fillId="0" borderId="1" xfId="0" applyNumberFormat="1" applyFont="1" applyBorder="1" applyAlignment="1">
      <alignment horizontal="center" vertical="center" shrinkToFit="1"/>
    </xf>
    <xf numFmtId="178" fontId="10" fillId="4" borderId="1" xfId="0" applyNumberFormat="1" applyFont="1" applyFill="1" applyBorder="1" applyAlignment="1">
      <alignment horizontal="center" vertical="center" shrinkToFit="1"/>
    </xf>
    <xf numFmtId="178" fontId="10" fillId="0" borderId="1" xfId="0" applyNumberFormat="1" applyFont="1" applyBorder="1" applyAlignment="1">
      <alignment horizontal="center" vertical="center" shrinkToFit="1"/>
    </xf>
    <xf numFmtId="178" fontId="16" fillId="0" borderId="0" xfId="0" applyNumberFormat="1" applyFont="1" applyAlignment="1">
      <alignment horizontal="left" vertical="center"/>
    </xf>
  </cellXfs>
  <cellStyles count="3">
    <cellStyle name="Hyperlink" xfId="1" builtinId="8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D4C8A-7E36-4E73-B9EC-9585D14DF7CA}">
  <dimension ref="A1:B12"/>
  <sheetViews>
    <sheetView tabSelected="1" workbookViewId="0">
      <selection activeCell="A17" sqref="A17"/>
    </sheetView>
  </sheetViews>
  <sheetFormatPr defaultRowHeight="14.4" x14ac:dyDescent="0.3"/>
  <cols>
    <col min="1" max="1" width="75.5" style="3" bestFit="1" customWidth="1"/>
    <col min="2" max="2" width="86.5" style="3" bestFit="1" customWidth="1"/>
    <col min="3" max="16384" width="9" style="3"/>
  </cols>
  <sheetData>
    <row r="1" spans="1:2" x14ac:dyDescent="0.3">
      <c r="A1" s="134" t="s">
        <v>50</v>
      </c>
      <c r="B1" s="134" t="s">
        <v>51</v>
      </c>
    </row>
    <row r="2" spans="1:2" x14ac:dyDescent="0.3">
      <c r="A2" s="135" t="s">
        <v>151</v>
      </c>
      <c r="B2" s="3" t="s">
        <v>49</v>
      </c>
    </row>
    <row r="3" spans="1:2" x14ac:dyDescent="0.3">
      <c r="A3" s="136" t="s">
        <v>150</v>
      </c>
      <c r="B3" s="3" t="s">
        <v>52</v>
      </c>
    </row>
    <row r="4" spans="1:2" x14ac:dyDescent="0.3">
      <c r="A4" s="135" t="s">
        <v>161</v>
      </c>
      <c r="B4" s="3" t="s">
        <v>162</v>
      </c>
    </row>
    <row r="5" spans="1:2" ht="15" x14ac:dyDescent="0.3">
      <c r="A5" s="195" t="s">
        <v>224</v>
      </c>
      <c r="B5" s="3" t="s">
        <v>225</v>
      </c>
    </row>
    <row r="6" spans="1:2" x14ac:dyDescent="0.3">
      <c r="A6" s="137" t="s">
        <v>131</v>
      </c>
      <c r="B6" s="3" t="s">
        <v>163</v>
      </c>
    </row>
    <row r="7" spans="1:2" x14ac:dyDescent="0.3">
      <c r="A7" s="138" t="s">
        <v>165</v>
      </c>
      <c r="B7" s="3" t="s">
        <v>166</v>
      </c>
    </row>
    <row r="8" spans="1:2" x14ac:dyDescent="0.3">
      <c r="A8" s="139" t="s">
        <v>167</v>
      </c>
      <c r="B8" s="3" t="s">
        <v>169</v>
      </c>
    </row>
    <row r="9" spans="1:2" x14ac:dyDescent="0.3">
      <c r="A9" s="137" t="s">
        <v>121</v>
      </c>
      <c r="B9" s="3" t="s">
        <v>164</v>
      </c>
    </row>
    <row r="10" spans="1:2" x14ac:dyDescent="0.3">
      <c r="A10" s="135" t="s">
        <v>215</v>
      </c>
    </row>
    <row r="11" spans="1:2" x14ac:dyDescent="0.3">
      <c r="A11" s="135" t="s">
        <v>216</v>
      </c>
    </row>
    <row r="12" spans="1:2" x14ac:dyDescent="0.3">
      <c r="A12" s="135" t="s">
        <v>217</v>
      </c>
    </row>
  </sheetData>
  <phoneticPr fontId="2" type="noConversion"/>
  <hyperlinks>
    <hyperlink ref="A2" location="'#ofUni'!A1" display="Number of university" xr:uid="{8C5F2748-F366-44CA-AB0D-C4FE898F7114}"/>
    <hyperlink ref="A3" location="ProgramByClusterByCat!A1" display="Number of Programmes per cluster by university category (2017/2018)" xr:uid="{451D4F70-A957-4F2C-8ECD-C9C2BD79ECE4}"/>
    <hyperlink ref="A4" location="EnrolByGenderByCatByLevel!A1" display="Enrolment by Gender, Academic Level and Category (2017-2018)" xr:uid="{FE930C52-810E-4B25-987B-2C006A60A72F}"/>
    <hyperlink ref="A6" location="EnrolByClusterByCat!A1" display="Enrolment by Cluster in Public and Private Universities" xr:uid="{57D168FF-EAF0-47A5-8CFC-A0ABD9DA3101}"/>
    <hyperlink ref="A9" location="GradByCatByDomainByGender!A1" display="Graduations by University Category, Domain and Gender (2017)" xr:uid="{613B8642-A10F-45FD-8ECB-DF15E237D29F}"/>
    <hyperlink ref="A10" location="GradByGender!A1" display="Graduation by University by Gender" xr:uid="{C9776DD8-128B-4C3F-8258-722F5A23A02B}"/>
    <hyperlink ref="A11" location="GradByAward!A1" display="Graduation by University by Award Level" xr:uid="{AF150551-E1A0-422B-AFAA-0821CD313607}"/>
    <hyperlink ref="A12" location="GradByGrade!A1" display="Gradation by University by Grade" xr:uid="{AD41905E-5709-462C-9C38-A65445BBA991}"/>
    <hyperlink ref="A5" location="EnrolbySponsorship!A1" display="Enrolment by Sponsorship and Category" xr:uid="{985A6EE0-FA9D-4B5E-8DE9-C8BD130AC5C8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06066-08E3-4D75-8A1F-4EC8BB1A8DBD}">
  <dimension ref="A1:F9"/>
  <sheetViews>
    <sheetView workbookViewId="0">
      <selection activeCell="A12" sqref="A12"/>
    </sheetView>
  </sheetViews>
  <sheetFormatPr defaultRowHeight="14.4" x14ac:dyDescent="0.3"/>
  <cols>
    <col min="1" max="1" width="41.375" style="3" customWidth="1"/>
    <col min="2" max="6" width="6.25" style="3" bestFit="1" customWidth="1"/>
    <col min="7" max="16384" width="9" style="3"/>
  </cols>
  <sheetData>
    <row r="1" spans="1:6" x14ac:dyDescent="0.3">
      <c r="A1" s="1" t="s">
        <v>84</v>
      </c>
      <c r="B1" s="2"/>
      <c r="C1" s="2"/>
      <c r="D1" s="2"/>
    </row>
    <row r="2" spans="1:6" x14ac:dyDescent="0.3">
      <c r="A2" s="4" t="s">
        <v>39</v>
      </c>
      <c r="B2" s="9">
        <v>2016</v>
      </c>
      <c r="C2" s="9">
        <v>2017</v>
      </c>
      <c r="D2" s="9">
        <v>2018</v>
      </c>
      <c r="E2" s="9">
        <v>2023</v>
      </c>
      <c r="F2" s="9">
        <v>2024</v>
      </c>
    </row>
    <row r="3" spans="1:6" x14ac:dyDescent="0.3">
      <c r="A3" s="5" t="s">
        <v>40</v>
      </c>
      <c r="B3" s="6">
        <v>23</v>
      </c>
      <c r="C3" s="6">
        <v>30</v>
      </c>
      <c r="D3" s="6">
        <v>31</v>
      </c>
      <c r="E3" s="6">
        <v>37</v>
      </c>
      <c r="F3" s="6">
        <v>37</v>
      </c>
    </row>
    <row r="4" spans="1:6" x14ac:dyDescent="0.3">
      <c r="A4" s="5" t="s">
        <v>41</v>
      </c>
      <c r="B4" s="6">
        <v>17</v>
      </c>
      <c r="C4" s="6">
        <v>18</v>
      </c>
      <c r="D4" s="6">
        <v>18</v>
      </c>
      <c r="E4" s="6">
        <v>25</v>
      </c>
      <c r="F4" s="6">
        <v>27</v>
      </c>
    </row>
    <row r="5" spans="1:6" ht="28.8" x14ac:dyDescent="0.3">
      <c r="A5" s="5" t="s">
        <v>44</v>
      </c>
      <c r="B5" s="6">
        <v>12</v>
      </c>
      <c r="C5" s="6">
        <v>12</v>
      </c>
      <c r="D5" s="6">
        <v>14</v>
      </c>
      <c r="E5" s="6">
        <v>8</v>
      </c>
      <c r="F5" s="6">
        <v>7</v>
      </c>
    </row>
    <row r="6" spans="1:6" x14ac:dyDescent="0.3">
      <c r="A6" s="5" t="s">
        <v>42</v>
      </c>
      <c r="B6" s="6">
        <v>8</v>
      </c>
      <c r="C6" s="6">
        <v>4</v>
      </c>
      <c r="D6" s="6">
        <v>6</v>
      </c>
      <c r="E6" s="6">
        <v>6</v>
      </c>
      <c r="F6" s="6">
        <v>6</v>
      </c>
    </row>
    <row r="7" spans="1:6" x14ac:dyDescent="0.3">
      <c r="A7" s="5" t="s">
        <v>43</v>
      </c>
      <c r="B7" s="6">
        <v>5</v>
      </c>
      <c r="C7" s="6">
        <v>5</v>
      </c>
      <c r="D7" s="6">
        <v>5</v>
      </c>
      <c r="E7" s="6">
        <v>3</v>
      </c>
      <c r="F7" s="6">
        <v>2</v>
      </c>
    </row>
    <row r="8" spans="1:6" x14ac:dyDescent="0.3">
      <c r="A8" s="5" t="s">
        <v>53</v>
      </c>
      <c r="B8" s="6">
        <v>1</v>
      </c>
      <c r="C8" s="6">
        <v>0</v>
      </c>
      <c r="D8" s="6">
        <v>0</v>
      </c>
      <c r="E8" s="7">
        <v>0</v>
      </c>
      <c r="F8" s="7">
        <v>0</v>
      </c>
    </row>
    <row r="9" spans="1:6" x14ac:dyDescent="0.3">
      <c r="A9" s="5" t="s">
        <v>54</v>
      </c>
      <c r="B9" s="8">
        <v>66</v>
      </c>
      <c r="C9" s="8">
        <v>68</v>
      </c>
      <c r="D9" s="8">
        <v>74</v>
      </c>
      <c r="E9" s="8">
        <v>79</v>
      </c>
      <c r="F9" s="8">
        <v>79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F1507-8163-420A-86CC-FF33F94827B3}">
  <dimension ref="A1:I63"/>
  <sheetViews>
    <sheetView zoomScale="85" zoomScaleNormal="85"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.6" x14ac:dyDescent="0.3"/>
  <cols>
    <col min="1" max="1" width="22.75" style="111" customWidth="1"/>
    <col min="2" max="2" width="51" style="98" customWidth="1"/>
    <col min="3" max="8" width="15.25" style="98" customWidth="1"/>
    <col min="9" max="16384" width="9" style="3"/>
  </cols>
  <sheetData>
    <row r="1" spans="1:9" s="99" customFormat="1" x14ac:dyDescent="0.3">
      <c r="A1" s="97" t="s">
        <v>150</v>
      </c>
      <c r="B1" s="98"/>
      <c r="C1" s="98"/>
      <c r="D1" s="98"/>
      <c r="E1" s="98"/>
      <c r="F1" s="98"/>
      <c r="G1" s="98"/>
      <c r="H1" s="98"/>
    </row>
    <row r="2" spans="1:9" x14ac:dyDescent="0.3">
      <c r="A2" s="100"/>
      <c r="B2" s="101" t="s">
        <v>144</v>
      </c>
      <c r="C2" s="101" t="s">
        <v>87</v>
      </c>
      <c r="D2" s="101" t="s">
        <v>3</v>
      </c>
      <c r="E2" s="101" t="s">
        <v>86</v>
      </c>
      <c r="F2" s="101" t="s">
        <v>2</v>
      </c>
      <c r="G2" s="101" t="s">
        <v>60</v>
      </c>
      <c r="H2" s="102" t="s">
        <v>63</v>
      </c>
    </row>
    <row r="3" spans="1:9" x14ac:dyDescent="0.3">
      <c r="A3" s="141" t="s">
        <v>132</v>
      </c>
      <c r="B3" s="103" t="s">
        <v>114</v>
      </c>
      <c r="C3" s="104">
        <v>129</v>
      </c>
      <c r="D3" s="104">
        <v>178</v>
      </c>
      <c r="E3" s="104">
        <v>10</v>
      </c>
      <c r="F3" s="104">
        <v>195</v>
      </c>
      <c r="G3" s="104">
        <v>36</v>
      </c>
      <c r="H3" s="112">
        <v>548</v>
      </c>
    </row>
    <row r="4" spans="1:9" x14ac:dyDescent="0.3">
      <c r="A4" s="141"/>
      <c r="B4" s="103" t="s">
        <v>105</v>
      </c>
      <c r="C4" s="104">
        <v>78</v>
      </c>
      <c r="D4" s="104">
        <v>130</v>
      </c>
      <c r="E4" s="104">
        <v>3</v>
      </c>
      <c r="F4" s="104">
        <v>132</v>
      </c>
      <c r="G4" s="104">
        <v>7</v>
      </c>
      <c r="H4" s="112">
        <v>350</v>
      </c>
    </row>
    <row r="5" spans="1:9" x14ac:dyDescent="0.3">
      <c r="A5" s="141"/>
      <c r="B5" s="103" t="s">
        <v>127</v>
      </c>
      <c r="C5" s="104">
        <v>46</v>
      </c>
      <c r="D5" s="104">
        <v>109</v>
      </c>
      <c r="E5" s="104">
        <v>8</v>
      </c>
      <c r="F5" s="104">
        <v>149</v>
      </c>
      <c r="G5" s="104">
        <v>67</v>
      </c>
      <c r="H5" s="112">
        <v>379</v>
      </c>
    </row>
    <row r="6" spans="1:9" x14ac:dyDescent="0.3">
      <c r="A6" s="141"/>
      <c r="B6" s="103" t="s">
        <v>128</v>
      </c>
      <c r="C6" s="104">
        <v>1</v>
      </c>
      <c r="D6" s="104">
        <v>2</v>
      </c>
      <c r="E6" s="104">
        <v>0</v>
      </c>
      <c r="F6" s="104">
        <v>7</v>
      </c>
      <c r="G6" s="104">
        <v>0</v>
      </c>
      <c r="H6" s="112">
        <v>10</v>
      </c>
    </row>
    <row r="7" spans="1:9" x14ac:dyDescent="0.3">
      <c r="A7" s="141"/>
      <c r="B7" s="103" t="s">
        <v>103</v>
      </c>
      <c r="C7" s="104">
        <v>102</v>
      </c>
      <c r="D7" s="104">
        <v>145</v>
      </c>
      <c r="E7" s="104">
        <v>17</v>
      </c>
      <c r="F7" s="104">
        <v>136</v>
      </c>
      <c r="G7" s="104">
        <v>27</v>
      </c>
      <c r="H7" s="112">
        <v>427</v>
      </c>
    </row>
    <row r="8" spans="1:9" x14ac:dyDescent="0.3">
      <c r="A8" s="141"/>
      <c r="B8" s="103" t="s">
        <v>112</v>
      </c>
      <c r="C8" s="104">
        <v>40</v>
      </c>
      <c r="D8" s="104">
        <v>77</v>
      </c>
      <c r="E8" s="104">
        <v>4</v>
      </c>
      <c r="F8" s="104">
        <v>148</v>
      </c>
      <c r="G8" s="104">
        <v>35</v>
      </c>
      <c r="H8" s="112">
        <v>304</v>
      </c>
    </row>
    <row r="9" spans="1:9" x14ac:dyDescent="0.3">
      <c r="A9" s="141"/>
      <c r="B9" s="103" t="s">
        <v>109</v>
      </c>
      <c r="C9" s="104">
        <v>60</v>
      </c>
      <c r="D9" s="104">
        <v>161</v>
      </c>
      <c r="E9" s="104">
        <v>11</v>
      </c>
      <c r="F9" s="104">
        <v>148</v>
      </c>
      <c r="G9" s="104">
        <v>26</v>
      </c>
      <c r="H9" s="112">
        <v>406</v>
      </c>
    </row>
    <row r="10" spans="1:9" x14ac:dyDescent="0.3">
      <c r="A10" s="141"/>
      <c r="B10" s="103" t="s">
        <v>129</v>
      </c>
      <c r="C10" s="104">
        <v>20</v>
      </c>
      <c r="D10" s="104">
        <v>31</v>
      </c>
      <c r="E10" s="104">
        <v>3</v>
      </c>
      <c r="F10" s="104">
        <v>99</v>
      </c>
      <c r="G10" s="104">
        <v>23</v>
      </c>
      <c r="H10" s="112">
        <v>176</v>
      </c>
    </row>
    <row r="11" spans="1:9" x14ac:dyDescent="0.3">
      <c r="A11" s="141"/>
      <c r="B11" s="103" t="s">
        <v>116</v>
      </c>
      <c r="C11" s="104">
        <v>193</v>
      </c>
      <c r="D11" s="104">
        <v>314</v>
      </c>
      <c r="E11" s="104">
        <v>10</v>
      </c>
      <c r="F11" s="104">
        <v>351</v>
      </c>
      <c r="G11" s="104">
        <v>8</v>
      </c>
      <c r="H11" s="112">
        <v>876</v>
      </c>
    </row>
    <row r="12" spans="1:9" x14ac:dyDescent="0.3">
      <c r="A12" s="141"/>
      <c r="B12" s="103" t="s">
        <v>110</v>
      </c>
      <c r="C12" s="104">
        <v>16</v>
      </c>
      <c r="D12" s="104">
        <v>27</v>
      </c>
      <c r="E12" s="104">
        <v>3</v>
      </c>
      <c r="F12" s="104">
        <v>58</v>
      </c>
      <c r="G12" s="104">
        <v>21</v>
      </c>
      <c r="H12" s="112">
        <v>125</v>
      </c>
    </row>
    <row r="13" spans="1:9" x14ac:dyDescent="0.3">
      <c r="A13" s="141"/>
      <c r="B13" s="103" t="s">
        <v>119</v>
      </c>
      <c r="C13" s="104">
        <v>64</v>
      </c>
      <c r="D13" s="104">
        <v>145</v>
      </c>
      <c r="E13" s="104">
        <v>11</v>
      </c>
      <c r="F13" s="104">
        <v>191</v>
      </c>
      <c r="G13" s="104">
        <v>49</v>
      </c>
      <c r="H13" s="112">
        <v>460</v>
      </c>
    </row>
    <row r="14" spans="1:9" x14ac:dyDescent="0.3">
      <c r="A14" s="142"/>
      <c r="B14" s="105" t="s">
        <v>0</v>
      </c>
      <c r="C14" s="106">
        <v>749</v>
      </c>
      <c r="D14" s="106">
        <v>1319</v>
      </c>
      <c r="E14" s="106">
        <v>80</v>
      </c>
      <c r="F14" s="106">
        <v>1614</v>
      </c>
      <c r="G14" s="106">
        <v>299</v>
      </c>
      <c r="H14" s="107">
        <v>4061</v>
      </c>
    </row>
    <row r="15" spans="1:9" x14ac:dyDescent="0.3">
      <c r="A15" s="140" t="s">
        <v>133</v>
      </c>
      <c r="B15" s="108" t="s">
        <v>115</v>
      </c>
      <c r="C15" s="109">
        <v>0</v>
      </c>
      <c r="D15" s="109">
        <v>0</v>
      </c>
      <c r="E15" s="109">
        <v>0</v>
      </c>
      <c r="F15" s="109">
        <v>4</v>
      </c>
      <c r="G15" s="109">
        <v>1</v>
      </c>
      <c r="H15" s="113">
        <v>5</v>
      </c>
      <c r="I15" s="81"/>
    </row>
    <row r="16" spans="1:9" x14ac:dyDescent="0.3">
      <c r="A16" s="141"/>
      <c r="B16" s="110" t="s">
        <v>105</v>
      </c>
      <c r="C16" s="104">
        <v>1</v>
      </c>
      <c r="D16" s="104">
        <v>5</v>
      </c>
      <c r="E16" s="104">
        <v>0</v>
      </c>
      <c r="F16" s="104">
        <v>3</v>
      </c>
      <c r="G16" s="104">
        <v>0</v>
      </c>
      <c r="H16" s="112">
        <v>9</v>
      </c>
      <c r="I16" s="81"/>
    </row>
    <row r="17" spans="1:9" x14ac:dyDescent="0.3">
      <c r="A17" s="141"/>
      <c r="B17" s="110" t="s">
        <v>127</v>
      </c>
      <c r="C17" s="104">
        <v>1</v>
      </c>
      <c r="D17" s="104">
        <v>3</v>
      </c>
      <c r="E17" s="104">
        <v>0</v>
      </c>
      <c r="F17" s="104">
        <v>8</v>
      </c>
      <c r="G17" s="104">
        <v>9</v>
      </c>
      <c r="H17" s="112">
        <v>21</v>
      </c>
      <c r="I17" s="81"/>
    </row>
    <row r="18" spans="1:9" x14ac:dyDescent="0.3">
      <c r="A18" s="141"/>
      <c r="B18" s="110" t="s">
        <v>128</v>
      </c>
      <c r="C18" s="104">
        <v>0</v>
      </c>
      <c r="D18" s="104">
        <v>0</v>
      </c>
      <c r="E18" s="104">
        <v>0</v>
      </c>
      <c r="F18" s="104">
        <v>0</v>
      </c>
      <c r="G18" s="104">
        <v>0</v>
      </c>
      <c r="H18" s="112">
        <v>0</v>
      </c>
      <c r="I18" s="81"/>
    </row>
    <row r="19" spans="1:9" x14ac:dyDescent="0.3">
      <c r="A19" s="141"/>
      <c r="B19" s="110" t="s">
        <v>103</v>
      </c>
      <c r="C19" s="104">
        <v>4</v>
      </c>
      <c r="D19" s="104">
        <v>4</v>
      </c>
      <c r="E19" s="104">
        <v>0</v>
      </c>
      <c r="F19" s="104">
        <v>13</v>
      </c>
      <c r="G19" s="104">
        <v>1</v>
      </c>
      <c r="H19" s="112">
        <v>22</v>
      </c>
      <c r="I19" s="81"/>
    </row>
    <row r="20" spans="1:9" x14ac:dyDescent="0.3">
      <c r="A20" s="141"/>
      <c r="B20" s="110" t="s">
        <v>112</v>
      </c>
      <c r="C20" s="104">
        <v>0</v>
      </c>
      <c r="D20" s="104">
        <v>0</v>
      </c>
      <c r="E20" s="104">
        <v>0</v>
      </c>
      <c r="F20" s="104">
        <v>0</v>
      </c>
      <c r="G20" s="104">
        <v>0</v>
      </c>
      <c r="H20" s="112">
        <v>0</v>
      </c>
      <c r="I20" s="81"/>
    </row>
    <row r="21" spans="1:9" x14ac:dyDescent="0.3">
      <c r="A21" s="141"/>
      <c r="B21" s="110" t="s">
        <v>109</v>
      </c>
      <c r="C21" s="104">
        <v>0</v>
      </c>
      <c r="D21" s="104">
        <v>0</v>
      </c>
      <c r="E21" s="104">
        <v>0</v>
      </c>
      <c r="F21" s="104">
        <v>6</v>
      </c>
      <c r="G21" s="104">
        <v>4</v>
      </c>
      <c r="H21" s="112">
        <v>10</v>
      </c>
      <c r="I21" s="81"/>
    </row>
    <row r="22" spans="1:9" x14ac:dyDescent="0.3">
      <c r="A22" s="141"/>
      <c r="B22" s="110" t="s">
        <v>145</v>
      </c>
      <c r="C22" s="104">
        <v>0</v>
      </c>
      <c r="D22" s="104">
        <v>0</v>
      </c>
      <c r="E22" s="104">
        <v>0</v>
      </c>
      <c r="F22" s="104">
        <v>3</v>
      </c>
      <c r="G22" s="104">
        <v>3</v>
      </c>
      <c r="H22" s="112">
        <v>6</v>
      </c>
      <c r="I22" s="81"/>
    </row>
    <row r="23" spans="1:9" x14ac:dyDescent="0.3">
      <c r="A23" s="141"/>
      <c r="B23" s="110" t="s">
        <v>117</v>
      </c>
      <c r="C23" s="104">
        <v>0</v>
      </c>
      <c r="D23" s="104">
        <v>0</v>
      </c>
      <c r="E23" s="104">
        <v>0</v>
      </c>
      <c r="F23" s="104">
        <v>8</v>
      </c>
      <c r="G23" s="104">
        <v>1</v>
      </c>
      <c r="H23" s="112">
        <v>9</v>
      </c>
      <c r="I23" s="81"/>
    </row>
    <row r="24" spans="1:9" x14ac:dyDescent="0.3">
      <c r="A24" s="141"/>
      <c r="B24" s="110" t="s">
        <v>110</v>
      </c>
      <c r="C24" s="104">
        <v>0</v>
      </c>
      <c r="D24" s="104">
        <v>0</v>
      </c>
      <c r="E24" s="104">
        <v>0</v>
      </c>
      <c r="F24" s="104">
        <v>2</v>
      </c>
      <c r="G24" s="104">
        <v>2</v>
      </c>
      <c r="H24" s="112">
        <v>4</v>
      </c>
      <c r="I24" s="81"/>
    </row>
    <row r="25" spans="1:9" x14ac:dyDescent="0.3">
      <c r="A25" s="141"/>
      <c r="B25" s="110" t="s">
        <v>120</v>
      </c>
      <c r="C25" s="104">
        <v>1</v>
      </c>
      <c r="D25" s="104">
        <v>1</v>
      </c>
      <c r="E25" s="104">
        <v>0</v>
      </c>
      <c r="F25" s="104">
        <v>12</v>
      </c>
      <c r="G25" s="104">
        <v>4</v>
      </c>
      <c r="H25" s="112">
        <v>18</v>
      </c>
      <c r="I25" s="81"/>
    </row>
    <row r="26" spans="1:9" x14ac:dyDescent="0.3">
      <c r="A26" s="142"/>
      <c r="B26" s="105" t="s">
        <v>0</v>
      </c>
      <c r="C26" s="106">
        <v>7</v>
      </c>
      <c r="D26" s="106">
        <v>13</v>
      </c>
      <c r="E26" s="106">
        <v>0</v>
      </c>
      <c r="F26" s="106">
        <v>59</v>
      </c>
      <c r="G26" s="106">
        <v>25</v>
      </c>
      <c r="H26" s="107">
        <v>104</v>
      </c>
      <c r="I26" s="81"/>
    </row>
    <row r="27" spans="1:9" x14ac:dyDescent="0.3">
      <c r="A27" s="140" t="s">
        <v>57</v>
      </c>
      <c r="B27" s="108" t="s">
        <v>115</v>
      </c>
      <c r="C27" s="109">
        <v>1</v>
      </c>
      <c r="D27" s="109">
        <v>1</v>
      </c>
      <c r="E27" s="109">
        <v>0</v>
      </c>
      <c r="F27" s="109">
        <v>8</v>
      </c>
      <c r="G27" s="109">
        <v>4</v>
      </c>
      <c r="H27" s="113">
        <v>14</v>
      </c>
      <c r="I27" s="81"/>
    </row>
    <row r="28" spans="1:9" x14ac:dyDescent="0.3">
      <c r="A28" s="141"/>
      <c r="B28" s="110" t="s">
        <v>105</v>
      </c>
      <c r="C28" s="104">
        <v>20</v>
      </c>
      <c r="D28" s="104">
        <v>52</v>
      </c>
      <c r="E28" s="104">
        <v>1</v>
      </c>
      <c r="F28" s="104">
        <v>52</v>
      </c>
      <c r="G28" s="104">
        <v>18</v>
      </c>
      <c r="H28" s="112">
        <v>143</v>
      </c>
      <c r="I28" s="81"/>
    </row>
    <row r="29" spans="1:9" x14ac:dyDescent="0.3">
      <c r="A29" s="141"/>
      <c r="B29" s="110" t="s">
        <v>127</v>
      </c>
      <c r="C29" s="104">
        <v>10</v>
      </c>
      <c r="D29" s="104">
        <v>45</v>
      </c>
      <c r="E29" s="104">
        <v>3</v>
      </c>
      <c r="F29" s="104">
        <v>58</v>
      </c>
      <c r="G29" s="104">
        <v>32</v>
      </c>
      <c r="H29" s="112">
        <v>148</v>
      </c>
      <c r="I29" s="81"/>
    </row>
    <row r="30" spans="1:9" ht="15" customHeight="1" x14ac:dyDescent="0.3">
      <c r="A30" s="141"/>
      <c r="B30" s="110" t="s">
        <v>128</v>
      </c>
      <c r="C30" s="104">
        <v>0</v>
      </c>
      <c r="D30" s="104">
        <v>2</v>
      </c>
      <c r="E30" s="104">
        <v>0</v>
      </c>
      <c r="F30" s="104">
        <v>5</v>
      </c>
      <c r="G30" s="104">
        <v>2</v>
      </c>
      <c r="H30" s="112">
        <v>9</v>
      </c>
      <c r="I30" s="81"/>
    </row>
    <row r="31" spans="1:9" x14ac:dyDescent="0.3">
      <c r="A31" s="141"/>
      <c r="B31" s="110" t="s">
        <v>103</v>
      </c>
      <c r="C31" s="104">
        <v>6</v>
      </c>
      <c r="D31" s="104">
        <v>19</v>
      </c>
      <c r="E31" s="104">
        <v>6</v>
      </c>
      <c r="F31" s="104">
        <v>34</v>
      </c>
      <c r="G31" s="104">
        <v>12</v>
      </c>
      <c r="H31" s="112">
        <v>77</v>
      </c>
      <c r="I31" s="81"/>
    </row>
    <row r="32" spans="1:9" x14ac:dyDescent="0.3">
      <c r="A32" s="141"/>
      <c r="B32" s="110" t="s">
        <v>113</v>
      </c>
      <c r="C32" s="104">
        <v>0</v>
      </c>
      <c r="D32" s="104">
        <v>0</v>
      </c>
      <c r="E32" s="104">
        <v>0</v>
      </c>
      <c r="F32" s="104">
        <v>8</v>
      </c>
      <c r="G32" s="104">
        <v>2</v>
      </c>
      <c r="H32" s="112">
        <v>10</v>
      </c>
      <c r="I32" s="81"/>
    </row>
    <row r="33" spans="1:9" x14ac:dyDescent="0.3">
      <c r="A33" s="141"/>
      <c r="B33" s="110" t="s">
        <v>109</v>
      </c>
      <c r="C33" s="104">
        <v>6</v>
      </c>
      <c r="D33" s="104">
        <v>27</v>
      </c>
      <c r="E33" s="104">
        <v>0</v>
      </c>
      <c r="F33" s="104">
        <v>64</v>
      </c>
      <c r="G33" s="104">
        <v>18</v>
      </c>
      <c r="H33" s="112">
        <v>115</v>
      </c>
      <c r="I33" s="81"/>
    </row>
    <row r="34" spans="1:9" x14ac:dyDescent="0.3">
      <c r="A34" s="141"/>
      <c r="B34" s="110" t="s">
        <v>145</v>
      </c>
      <c r="C34" s="104">
        <v>4</v>
      </c>
      <c r="D34" s="104">
        <v>16</v>
      </c>
      <c r="E34" s="104">
        <v>0</v>
      </c>
      <c r="F34" s="104">
        <v>37</v>
      </c>
      <c r="G34" s="104">
        <v>13</v>
      </c>
      <c r="H34" s="112">
        <v>70</v>
      </c>
      <c r="I34" s="81"/>
    </row>
    <row r="35" spans="1:9" x14ac:dyDescent="0.3">
      <c r="A35" s="141"/>
      <c r="B35" s="110" t="s">
        <v>117</v>
      </c>
      <c r="C35" s="104">
        <v>2</v>
      </c>
      <c r="D35" s="104">
        <v>8</v>
      </c>
      <c r="E35" s="104">
        <v>0</v>
      </c>
      <c r="F35" s="104">
        <v>27</v>
      </c>
      <c r="G35" s="104">
        <v>1</v>
      </c>
      <c r="H35" s="112">
        <v>38</v>
      </c>
      <c r="I35" s="81"/>
    </row>
    <row r="36" spans="1:9" x14ac:dyDescent="0.3">
      <c r="A36" s="141"/>
      <c r="B36" s="110" t="s">
        <v>110</v>
      </c>
      <c r="C36" s="104">
        <v>0</v>
      </c>
      <c r="D36" s="104">
        <v>1</v>
      </c>
      <c r="E36" s="104">
        <v>0</v>
      </c>
      <c r="F36" s="104">
        <v>12</v>
      </c>
      <c r="G36" s="104">
        <v>7</v>
      </c>
      <c r="H36" s="112">
        <v>20</v>
      </c>
      <c r="I36" s="81"/>
    </row>
    <row r="37" spans="1:9" x14ac:dyDescent="0.3">
      <c r="A37" s="141"/>
      <c r="B37" s="110" t="s">
        <v>120</v>
      </c>
      <c r="C37" s="104">
        <v>6</v>
      </c>
      <c r="D37" s="104">
        <v>26</v>
      </c>
      <c r="E37" s="104">
        <v>2</v>
      </c>
      <c r="F37" s="104">
        <v>61</v>
      </c>
      <c r="G37" s="104">
        <v>18</v>
      </c>
      <c r="H37" s="112">
        <v>113</v>
      </c>
      <c r="I37" s="81"/>
    </row>
    <row r="38" spans="1:9" x14ac:dyDescent="0.3">
      <c r="A38" s="142"/>
      <c r="B38" s="105" t="s">
        <v>0</v>
      </c>
      <c r="C38" s="106">
        <v>55</v>
      </c>
      <c r="D38" s="106">
        <v>197</v>
      </c>
      <c r="E38" s="106">
        <v>12</v>
      </c>
      <c r="F38" s="106">
        <v>366</v>
      </c>
      <c r="G38" s="106">
        <v>127</v>
      </c>
      <c r="H38" s="107">
        <v>757</v>
      </c>
      <c r="I38" s="81"/>
    </row>
    <row r="39" spans="1:9" x14ac:dyDescent="0.3">
      <c r="A39" s="140" t="s">
        <v>134</v>
      </c>
      <c r="B39" s="108" t="s">
        <v>136</v>
      </c>
      <c r="C39" s="109">
        <v>0</v>
      </c>
      <c r="D39" s="109">
        <v>0</v>
      </c>
      <c r="E39" s="109">
        <v>0</v>
      </c>
      <c r="F39" s="109">
        <v>0</v>
      </c>
      <c r="G39" s="109">
        <v>0</v>
      </c>
      <c r="H39" s="113">
        <v>0</v>
      </c>
      <c r="I39" s="81"/>
    </row>
    <row r="40" spans="1:9" x14ac:dyDescent="0.3">
      <c r="A40" s="141"/>
      <c r="B40" s="110" t="s">
        <v>137</v>
      </c>
      <c r="C40" s="104">
        <v>0</v>
      </c>
      <c r="D40" s="104">
        <v>7</v>
      </c>
      <c r="E40" s="104">
        <v>1</v>
      </c>
      <c r="F40" s="104">
        <v>4</v>
      </c>
      <c r="G40" s="104">
        <v>1</v>
      </c>
      <c r="H40" s="112">
        <v>13</v>
      </c>
      <c r="I40" s="81"/>
    </row>
    <row r="41" spans="1:9" x14ac:dyDescent="0.3">
      <c r="A41" s="141"/>
      <c r="B41" s="110" t="s">
        <v>138</v>
      </c>
      <c r="C41" s="104">
        <v>0</v>
      </c>
      <c r="D41" s="104">
        <v>1</v>
      </c>
      <c r="E41" s="104">
        <v>0</v>
      </c>
      <c r="F41" s="104">
        <v>2</v>
      </c>
      <c r="G41" s="104">
        <v>4</v>
      </c>
      <c r="H41" s="112">
        <v>7</v>
      </c>
      <c r="I41" s="81"/>
    </row>
    <row r="42" spans="1:9" x14ac:dyDescent="0.3">
      <c r="A42" s="141"/>
      <c r="B42" s="110" t="s">
        <v>128</v>
      </c>
      <c r="C42" s="104">
        <v>0</v>
      </c>
      <c r="D42" s="104">
        <v>0</v>
      </c>
      <c r="E42" s="104">
        <v>0</v>
      </c>
      <c r="F42" s="104">
        <v>0</v>
      </c>
      <c r="G42" s="104">
        <v>0</v>
      </c>
      <c r="H42" s="112">
        <v>0</v>
      </c>
      <c r="I42" s="81"/>
    </row>
    <row r="43" spans="1:9" x14ac:dyDescent="0.3">
      <c r="A43" s="141"/>
      <c r="B43" s="110" t="s">
        <v>103</v>
      </c>
      <c r="C43" s="104">
        <v>0</v>
      </c>
      <c r="D43" s="104">
        <v>2</v>
      </c>
      <c r="E43" s="104">
        <v>0</v>
      </c>
      <c r="F43" s="104">
        <v>3</v>
      </c>
      <c r="G43" s="104">
        <v>1</v>
      </c>
      <c r="H43" s="112">
        <v>6</v>
      </c>
      <c r="I43" s="81"/>
    </row>
    <row r="44" spans="1:9" x14ac:dyDescent="0.3">
      <c r="A44" s="141"/>
      <c r="B44" s="110" t="s">
        <v>139</v>
      </c>
      <c r="C44" s="104">
        <v>0</v>
      </c>
      <c r="D44" s="104">
        <v>0</v>
      </c>
      <c r="E44" s="104">
        <v>0</v>
      </c>
      <c r="F44" s="104">
        <v>0</v>
      </c>
      <c r="G44" s="104">
        <v>0</v>
      </c>
      <c r="H44" s="112">
        <v>0</v>
      </c>
      <c r="I44" s="81"/>
    </row>
    <row r="45" spans="1:9" x14ac:dyDescent="0.3">
      <c r="A45" s="141"/>
      <c r="B45" s="110" t="s">
        <v>140</v>
      </c>
      <c r="C45" s="104">
        <v>0</v>
      </c>
      <c r="D45" s="104">
        <v>1</v>
      </c>
      <c r="E45" s="104">
        <v>0</v>
      </c>
      <c r="F45" s="104">
        <v>4</v>
      </c>
      <c r="G45" s="104">
        <v>3</v>
      </c>
      <c r="H45" s="112">
        <v>8</v>
      </c>
      <c r="I45" s="81"/>
    </row>
    <row r="46" spans="1:9" x14ac:dyDescent="0.3">
      <c r="A46" s="141"/>
      <c r="B46" s="110" t="s">
        <v>141</v>
      </c>
      <c r="C46" s="104">
        <v>0</v>
      </c>
      <c r="D46" s="104">
        <v>0</v>
      </c>
      <c r="E46" s="104">
        <v>0</v>
      </c>
      <c r="F46" s="104">
        <v>0</v>
      </c>
      <c r="G46" s="104">
        <v>2</v>
      </c>
      <c r="H46" s="112">
        <v>2</v>
      </c>
      <c r="I46" s="81"/>
    </row>
    <row r="47" spans="1:9" x14ac:dyDescent="0.3">
      <c r="A47" s="141"/>
      <c r="B47" s="110" t="s">
        <v>142</v>
      </c>
      <c r="C47" s="104">
        <v>0</v>
      </c>
      <c r="D47" s="104">
        <v>0</v>
      </c>
      <c r="E47" s="104">
        <v>0</v>
      </c>
      <c r="F47" s="104">
        <v>0</v>
      </c>
      <c r="G47" s="104">
        <v>0</v>
      </c>
      <c r="H47" s="112">
        <v>0</v>
      </c>
      <c r="I47" s="81"/>
    </row>
    <row r="48" spans="1:9" x14ac:dyDescent="0.3">
      <c r="A48" s="141"/>
      <c r="B48" s="110" t="s">
        <v>110</v>
      </c>
      <c r="C48" s="104">
        <v>0</v>
      </c>
      <c r="D48" s="104">
        <v>0</v>
      </c>
      <c r="E48" s="104">
        <v>0</v>
      </c>
      <c r="F48" s="104">
        <v>0</v>
      </c>
      <c r="G48" s="104">
        <v>0</v>
      </c>
      <c r="H48" s="112">
        <v>0</v>
      </c>
      <c r="I48" s="81"/>
    </row>
    <row r="49" spans="1:9" x14ac:dyDescent="0.3">
      <c r="A49" s="141"/>
      <c r="B49" s="110" t="s">
        <v>143</v>
      </c>
      <c r="C49" s="104">
        <v>1</v>
      </c>
      <c r="D49" s="104">
        <v>2</v>
      </c>
      <c r="E49" s="104">
        <v>0</v>
      </c>
      <c r="F49" s="104">
        <v>5</v>
      </c>
      <c r="G49" s="104">
        <v>3</v>
      </c>
      <c r="H49" s="112">
        <v>11</v>
      </c>
      <c r="I49" s="81"/>
    </row>
    <row r="50" spans="1:9" x14ac:dyDescent="0.3">
      <c r="A50" s="142"/>
      <c r="B50" s="105" t="s">
        <v>0</v>
      </c>
      <c r="C50" s="106">
        <v>1</v>
      </c>
      <c r="D50" s="106">
        <v>13</v>
      </c>
      <c r="E50" s="106">
        <v>1</v>
      </c>
      <c r="F50" s="106">
        <v>18</v>
      </c>
      <c r="G50" s="106">
        <v>14</v>
      </c>
      <c r="H50" s="107">
        <v>47</v>
      </c>
      <c r="I50" s="81"/>
    </row>
    <row r="51" spans="1:9" x14ac:dyDescent="0.3">
      <c r="A51" s="140" t="s">
        <v>135</v>
      </c>
      <c r="B51" s="108" t="s">
        <v>146</v>
      </c>
      <c r="C51" s="109">
        <v>0</v>
      </c>
      <c r="D51" s="109">
        <v>0</v>
      </c>
      <c r="E51" s="109">
        <v>0</v>
      </c>
      <c r="F51" s="109">
        <v>1</v>
      </c>
      <c r="G51" s="109">
        <v>1</v>
      </c>
      <c r="H51" s="113">
        <v>2</v>
      </c>
      <c r="I51" s="81"/>
    </row>
    <row r="52" spans="1:9" x14ac:dyDescent="0.3">
      <c r="A52" s="141"/>
      <c r="B52" s="110" t="s">
        <v>105</v>
      </c>
      <c r="C52" s="104">
        <v>0</v>
      </c>
      <c r="D52" s="104">
        <v>5</v>
      </c>
      <c r="E52" s="104">
        <v>0</v>
      </c>
      <c r="F52" s="104">
        <v>6</v>
      </c>
      <c r="G52" s="104">
        <v>3</v>
      </c>
      <c r="H52" s="112">
        <v>14</v>
      </c>
      <c r="I52" s="81"/>
    </row>
    <row r="53" spans="1:9" x14ac:dyDescent="0.3">
      <c r="A53" s="141"/>
      <c r="B53" s="110" t="s">
        <v>138</v>
      </c>
      <c r="C53" s="104">
        <v>1</v>
      </c>
      <c r="D53" s="104">
        <v>4</v>
      </c>
      <c r="E53" s="104">
        <v>0</v>
      </c>
      <c r="F53" s="104">
        <v>14</v>
      </c>
      <c r="G53" s="104">
        <v>17</v>
      </c>
      <c r="H53" s="112">
        <v>36</v>
      </c>
      <c r="I53" s="81"/>
    </row>
    <row r="54" spans="1:9" x14ac:dyDescent="0.3">
      <c r="A54" s="141"/>
      <c r="B54" s="110" t="s">
        <v>128</v>
      </c>
      <c r="C54" s="104">
        <v>0</v>
      </c>
      <c r="D54" s="104">
        <v>0</v>
      </c>
      <c r="E54" s="104">
        <v>0</v>
      </c>
      <c r="F54" s="104">
        <v>1</v>
      </c>
      <c r="G54" s="104">
        <v>0</v>
      </c>
      <c r="H54" s="112">
        <v>1</v>
      </c>
      <c r="I54" s="81"/>
    </row>
    <row r="55" spans="1:9" x14ac:dyDescent="0.3">
      <c r="A55" s="141"/>
      <c r="B55" s="110" t="s">
        <v>147</v>
      </c>
      <c r="C55" s="104">
        <v>0</v>
      </c>
      <c r="D55" s="104">
        <v>1</v>
      </c>
      <c r="E55" s="104">
        <v>0</v>
      </c>
      <c r="F55" s="104">
        <v>10</v>
      </c>
      <c r="G55" s="104">
        <v>10</v>
      </c>
      <c r="H55" s="112">
        <v>21</v>
      </c>
      <c r="I55" s="81"/>
    </row>
    <row r="56" spans="1:9" x14ac:dyDescent="0.3">
      <c r="A56" s="141"/>
      <c r="B56" s="110" t="s">
        <v>148</v>
      </c>
      <c r="C56" s="104">
        <v>0</v>
      </c>
      <c r="D56" s="104">
        <v>0</v>
      </c>
      <c r="E56" s="104">
        <v>0</v>
      </c>
      <c r="F56" s="104">
        <v>0</v>
      </c>
      <c r="G56" s="104">
        <v>0</v>
      </c>
      <c r="H56" s="112">
        <v>0</v>
      </c>
      <c r="I56" s="81"/>
    </row>
    <row r="57" spans="1:9" x14ac:dyDescent="0.3">
      <c r="A57" s="141"/>
      <c r="B57" s="110" t="s">
        <v>140</v>
      </c>
      <c r="C57" s="104">
        <v>0</v>
      </c>
      <c r="D57" s="104">
        <v>1</v>
      </c>
      <c r="E57" s="104">
        <v>0</v>
      </c>
      <c r="F57" s="104">
        <v>6</v>
      </c>
      <c r="G57" s="104">
        <v>14</v>
      </c>
      <c r="H57" s="112">
        <v>21</v>
      </c>
      <c r="I57" s="81"/>
    </row>
    <row r="58" spans="1:9" x14ac:dyDescent="0.3">
      <c r="A58" s="141"/>
      <c r="B58" s="110" t="s">
        <v>145</v>
      </c>
      <c r="C58" s="104">
        <v>0</v>
      </c>
      <c r="D58" s="104">
        <v>0</v>
      </c>
      <c r="E58" s="104">
        <v>0</v>
      </c>
      <c r="F58" s="104">
        <v>12</v>
      </c>
      <c r="G58" s="104">
        <v>13</v>
      </c>
      <c r="H58" s="112">
        <v>25</v>
      </c>
      <c r="I58" s="81"/>
    </row>
    <row r="59" spans="1:9" x14ac:dyDescent="0.3">
      <c r="A59" s="141"/>
      <c r="B59" s="110" t="s">
        <v>117</v>
      </c>
      <c r="C59" s="104">
        <v>0</v>
      </c>
      <c r="D59" s="104">
        <v>0</v>
      </c>
      <c r="E59" s="104">
        <v>0</v>
      </c>
      <c r="F59" s="104">
        <v>1</v>
      </c>
      <c r="G59" s="104">
        <v>0</v>
      </c>
      <c r="H59" s="112">
        <v>1</v>
      </c>
      <c r="I59" s="81"/>
    </row>
    <row r="60" spans="1:9" x14ac:dyDescent="0.3">
      <c r="A60" s="141"/>
      <c r="B60" s="110" t="s">
        <v>110</v>
      </c>
      <c r="C60" s="104">
        <v>0</v>
      </c>
      <c r="D60" s="104">
        <v>0</v>
      </c>
      <c r="E60" s="104">
        <v>0</v>
      </c>
      <c r="F60" s="104">
        <v>2</v>
      </c>
      <c r="G60" s="104">
        <v>8</v>
      </c>
      <c r="H60" s="112">
        <v>10</v>
      </c>
      <c r="I60" s="81"/>
    </row>
    <row r="61" spans="1:9" x14ac:dyDescent="0.3">
      <c r="A61" s="141"/>
      <c r="B61" s="110" t="s">
        <v>149</v>
      </c>
      <c r="C61" s="104">
        <v>0</v>
      </c>
      <c r="D61" s="104">
        <v>1</v>
      </c>
      <c r="E61" s="104">
        <v>0</v>
      </c>
      <c r="F61" s="104">
        <v>4</v>
      </c>
      <c r="G61" s="104">
        <v>8</v>
      </c>
      <c r="H61" s="112">
        <v>13</v>
      </c>
      <c r="I61" s="81"/>
    </row>
    <row r="62" spans="1:9" x14ac:dyDescent="0.3">
      <c r="A62" s="142"/>
      <c r="B62" s="105" t="s">
        <v>0</v>
      </c>
      <c r="C62" s="106">
        <v>1</v>
      </c>
      <c r="D62" s="106">
        <v>12</v>
      </c>
      <c r="E62" s="106">
        <v>0</v>
      </c>
      <c r="F62" s="106">
        <v>57</v>
      </c>
      <c r="G62" s="106">
        <v>74</v>
      </c>
      <c r="H62" s="107">
        <v>144</v>
      </c>
      <c r="I62" s="81"/>
    </row>
    <row r="63" spans="1:9" x14ac:dyDescent="0.3">
      <c r="A63" s="143" t="s">
        <v>83</v>
      </c>
      <c r="B63" s="143"/>
      <c r="C63" s="114">
        <f>SUM(C14,C26,C38,C50,C62)</f>
        <v>813</v>
      </c>
      <c r="D63" s="114">
        <f t="shared" ref="D63:H63" si="0">SUM(D14,D26,D38,D50,D62)</f>
        <v>1554</v>
      </c>
      <c r="E63" s="114">
        <f t="shared" si="0"/>
        <v>93</v>
      </c>
      <c r="F63" s="114">
        <f t="shared" si="0"/>
        <v>2114</v>
      </c>
      <c r="G63" s="114">
        <f t="shared" si="0"/>
        <v>539</v>
      </c>
      <c r="H63" s="114">
        <f t="shared" si="0"/>
        <v>5113</v>
      </c>
    </row>
  </sheetData>
  <mergeCells count="6">
    <mergeCell ref="A51:A62"/>
    <mergeCell ref="A3:A14"/>
    <mergeCell ref="A63:B63"/>
    <mergeCell ref="A15:A26"/>
    <mergeCell ref="A27:A38"/>
    <mergeCell ref="A39:A50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BA205-610C-4B49-9E6C-CBD5BC111195}">
  <dimension ref="A1:X67"/>
  <sheetViews>
    <sheetView zoomScale="85" zoomScaleNormal="85" workbookViewId="0">
      <pane xSplit="2" ySplit="3" topLeftCell="C4" activePane="bottomRight" state="frozen"/>
      <selection pane="topRight" activeCell="D1" sqref="D1"/>
      <selection pane="bottomLeft" activeCell="A5" sqref="A5"/>
      <selection pane="bottomRight"/>
    </sheetView>
  </sheetViews>
  <sheetFormatPr defaultRowHeight="14.4" x14ac:dyDescent="0.3"/>
  <cols>
    <col min="1" max="1" width="38.5" style="3" customWidth="1"/>
    <col min="2" max="2" width="33.375" style="3" bestFit="1" customWidth="1"/>
    <col min="3" max="8" width="9.125" style="3" bestFit="1" customWidth="1"/>
    <col min="9" max="10" width="9.75" style="3" bestFit="1" customWidth="1"/>
    <col min="11" max="12" width="9.125" style="3" bestFit="1" customWidth="1"/>
    <col min="13" max="15" width="9.75" style="3" bestFit="1" customWidth="1"/>
    <col min="16" max="16384" width="9" style="3"/>
  </cols>
  <sheetData>
    <row r="1" spans="1:15" x14ac:dyDescent="0.3">
      <c r="A1" s="10" t="s">
        <v>161</v>
      </c>
    </row>
    <row r="2" spans="1:15" x14ac:dyDescent="0.3">
      <c r="A2" s="115"/>
      <c r="B2" s="116"/>
      <c r="C2" s="148" t="s">
        <v>4</v>
      </c>
      <c r="D2" s="149"/>
      <c r="E2" s="148" t="s">
        <v>3</v>
      </c>
      <c r="F2" s="149"/>
      <c r="G2" s="150" t="s">
        <v>65</v>
      </c>
      <c r="H2" s="151"/>
      <c r="I2" s="148" t="s">
        <v>2</v>
      </c>
      <c r="J2" s="149"/>
      <c r="K2" s="148" t="s">
        <v>60</v>
      </c>
      <c r="L2" s="149"/>
      <c r="M2" s="152" t="s">
        <v>61</v>
      </c>
      <c r="N2" s="144" t="s">
        <v>62</v>
      </c>
      <c r="O2" s="146" t="s">
        <v>63</v>
      </c>
    </row>
    <row r="3" spans="1:15" x14ac:dyDescent="0.3">
      <c r="A3" s="117" t="s">
        <v>160</v>
      </c>
      <c r="B3" s="118" t="s">
        <v>82</v>
      </c>
      <c r="C3" s="117" t="s">
        <v>45</v>
      </c>
      <c r="D3" s="117" t="s">
        <v>46</v>
      </c>
      <c r="E3" s="117" t="s">
        <v>45</v>
      </c>
      <c r="F3" s="117" t="s">
        <v>46</v>
      </c>
      <c r="G3" s="117" t="s">
        <v>45</v>
      </c>
      <c r="H3" s="117" t="s">
        <v>46</v>
      </c>
      <c r="I3" s="119" t="s">
        <v>45</v>
      </c>
      <c r="J3" s="117" t="s">
        <v>46</v>
      </c>
      <c r="K3" s="117" t="s">
        <v>45</v>
      </c>
      <c r="L3" s="117" t="s">
        <v>46</v>
      </c>
      <c r="M3" s="153"/>
      <c r="N3" s="145"/>
      <c r="O3" s="147"/>
    </row>
    <row r="4" spans="1:15" x14ac:dyDescent="0.3">
      <c r="A4" s="120" t="s">
        <v>9</v>
      </c>
      <c r="B4" s="5" t="s">
        <v>55</v>
      </c>
      <c r="C4" s="121">
        <v>50</v>
      </c>
      <c r="D4" s="122">
        <v>34</v>
      </c>
      <c r="E4" s="122">
        <v>396</v>
      </c>
      <c r="F4" s="122">
        <v>271</v>
      </c>
      <c r="G4" s="122">
        <v>0</v>
      </c>
      <c r="H4" s="122">
        <v>0</v>
      </c>
      <c r="I4" s="122">
        <v>7393</v>
      </c>
      <c r="J4" s="122">
        <v>4684</v>
      </c>
      <c r="K4" s="122">
        <v>725</v>
      </c>
      <c r="L4" s="122">
        <v>616</v>
      </c>
      <c r="M4" s="122">
        <v>8564</v>
      </c>
      <c r="N4" s="122">
        <v>5605</v>
      </c>
      <c r="O4" s="123">
        <v>14169</v>
      </c>
    </row>
    <row r="5" spans="1:15" x14ac:dyDescent="0.3">
      <c r="A5" s="120" t="s">
        <v>66</v>
      </c>
      <c r="B5" s="5" t="s">
        <v>55</v>
      </c>
      <c r="C5" s="121">
        <v>73</v>
      </c>
      <c r="D5" s="122">
        <v>42</v>
      </c>
      <c r="E5" s="122">
        <v>267</v>
      </c>
      <c r="F5" s="122">
        <v>79</v>
      </c>
      <c r="G5" s="122">
        <v>0</v>
      </c>
      <c r="H5" s="122">
        <v>0</v>
      </c>
      <c r="I5" s="122">
        <v>4268</v>
      </c>
      <c r="J5" s="122">
        <v>1942</v>
      </c>
      <c r="K5" s="122">
        <v>228</v>
      </c>
      <c r="L5" s="122">
        <v>161</v>
      </c>
      <c r="M5" s="122">
        <v>4836</v>
      </c>
      <c r="N5" s="122">
        <v>2224</v>
      </c>
      <c r="O5" s="123">
        <v>7060</v>
      </c>
    </row>
    <row r="6" spans="1:15" x14ac:dyDescent="0.3">
      <c r="A6" s="120" t="s">
        <v>11</v>
      </c>
      <c r="B6" s="5" t="s">
        <v>55</v>
      </c>
      <c r="C6" s="121">
        <v>43</v>
      </c>
      <c r="D6" s="122">
        <v>39</v>
      </c>
      <c r="E6" s="122">
        <v>109</v>
      </c>
      <c r="F6" s="122">
        <v>87</v>
      </c>
      <c r="G6" s="122">
        <v>0</v>
      </c>
      <c r="H6" s="122">
        <v>0</v>
      </c>
      <c r="I6" s="122">
        <v>8744</v>
      </c>
      <c r="J6" s="122">
        <v>6766</v>
      </c>
      <c r="K6" s="122">
        <v>106</v>
      </c>
      <c r="L6" s="122">
        <v>163</v>
      </c>
      <c r="M6" s="122">
        <v>9002</v>
      </c>
      <c r="N6" s="122">
        <v>7055</v>
      </c>
      <c r="O6" s="123">
        <v>16057</v>
      </c>
    </row>
    <row r="7" spans="1:15" x14ac:dyDescent="0.3">
      <c r="A7" s="120" t="s">
        <v>12</v>
      </c>
      <c r="B7" s="5" t="s">
        <v>55</v>
      </c>
      <c r="C7" s="121">
        <v>6</v>
      </c>
      <c r="D7" s="122">
        <v>0</v>
      </c>
      <c r="E7" s="122">
        <v>23</v>
      </c>
      <c r="F7" s="122">
        <v>13</v>
      </c>
      <c r="G7" s="122">
        <v>0</v>
      </c>
      <c r="H7" s="122">
        <v>0</v>
      </c>
      <c r="I7" s="122">
        <v>640</v>
      </c>
      <c r="J7" s="122">
        <v>239</v>
      </c>
      <c r="K7" s="122">
        <v>198</v>
      </c>
      <c r="L7" s="122">
        <v>73</v>
      </c>
      <c r="M7" s="122">
        <v>867</v>
      </c>
      <c r="N7" s="122">
        <v>325</v>
      </c>
      <c r="O7" s="123">
        <v>1192</v>
      </c>
    </row>
    <row r="8" spans="1:15" ht="28.8" x14ac:dyDescent="0.3">
      <c r="A8" s="124" t="s">
        <v>152</v>
      </c>
      <c r="B8" s="5" t="s">
        <v>55</v>
      </c>
      <c r="C8" s="121">
        <v>260</v>
      </c>
      <c r="D8" s="122">
        <v>141</v>
      </c>
      <c r="E8" s="122">
        <v>604</v>
      </c>
      <c r="F8" s="122">
        <v>333</v>
      </c>
      <c r="G8" s="122">
        <v>0</v>
      </c>
      <c r="H8" s="122">
        <v>0</v>
      </c>
      <c r="I8" s="122">
        <v>5030</v>
      </c>
      <c r="J8" s="122">
        <v>2974</v>
      </c>
      <c r="K8" s="122">
        <v>560</v>
      </c>
      <c r="L8" s="122">
        <v>629</v>
      </c>
      <c r="M8" s="122">
        <v>6454</v>
      </c>
      <c r="N8" s="122">
        <v>4077</v>
      </c>
      <c r="O8" s="123">
        <v>10531</v>
      </c>
    </row>
    <row r="9" spans="1:15" ht="28.8" x14ac:dyDescent="0.3">
      <c r="A9" s="124" t="s">
        <v>153</v>
      </c>
      <c r="B9" s="5" t="s">
        <v>55</v>
      </c>
      <c r="C9" s="121">
        <v>1603</v>
      </c>
      <c r="D9" s="122">
        <v>946</v>
      </c>
      <c r="E9" s="122">
        <v>4894</v>
      </c>
      <c r="F9" s="122">
        <v>3677</v>
      </c>
      <c r="G9" s="122">
        <v>50</v>
      </c>
      <c r="H9" s="122">
        <v>57</v>
      </c>
      <c r="I9" s="122">
        <v>18781</v>
      </c>
      <c r="J9" s="122">
        <v>13278</v>
      </c>
      <c r="K9" s="122">
        <v>1979</v>
      </c>
      <c r="L9" s="122">
        <v>1691</v>
      </c>
      <c r="M9" s="122">
        <v>27307</v>
      </c>
      <c r="N9" s="122">
        <v>19649</v>
      </c>
      <c r="O9" s="123">
        <v>46956</v>
      </c>
    </row>
    <row r="10" spans="1:15" x14ac:dyDescent="0.3">
      <c r="A10" s="120" t="s">
        <v>15</v>
      </c>
      <c r="B10" s="5" t="s">
        <v>55</v>
      </c>
      <c r="C10" s="121">
        <v>72</v>
      </c>
      <c r="D10" s="122">
        <v>44</v>
      </c>
      <c r="E10" s="122">
        <v>129</v>
      </c>
      <c r="F10" s="122">
        <v>122</v>
      </c>
      <c r="G10" s="122">
        <v>0</v>
      </c>
      <c r="H10" s="122">
        <v>0</v>
      </c>
      <c r="I10" s="122">
        <v>3373</v>
      </c>
      <c r="J10" s="122">
        <v>2522</v>
      </c>
      <c r="K10" s="122">
        <v>0</v>
      </c>
      <c r="L10" s="122">
        <v>0</v>
      </c>
      <c r="M10" s="122">
        <v>3574</v>
      </c>
      <c r="N10" s="122">
        <v>2688</v>
      </c>
      <c r="O10" s="123">
        <v>6262</v>
      </c>
    </row>
    <row r="11" spans="1:15" x14ac:dyDescent="0.3">
      <c r="A11" s="120" t="s">
        <v>18</v>
      </c>
      <c r="B11" s="5" t="s">
        <v>55</v>
      </c>
      <c r="C11" s="121">
        <v>463</v>
      </c>
      <c r="D11" s="122">
        <v>390</v>
      </c>
      <c r="E11" s="122">
        <v>6433</v>
      </c>
      <c r="F11" s="122">
        <v>5561</v>
      </c>
      <c r="G11" s="122">
        <v>233</v>
      </c>
      <c r="H11" s="122">
        <v>165</v>
      </c>
      <c r="I11" s="122">
        <v>26177</v>
      </c>
      <c r="J11" s="122">
        <v>23102</v>
      </c>
      <c r="K11" s="122">
        <v>0</v>
      </c>
      <c r="L11" s="122">
        <v>0</v>
      </c>
      <c r="M11" s="122">
        <v>33306</v>
      </c>
      <c r="N11" s="122">
        <v>29218</v>
      </c>
      <c r="O11" s="123">
        <v>62524</v>
      </c>
    </row>
    <row r="12" spans="1:15" x14ac:dyDescent="0.3">
      <c r="A12" s="120" t="s">
        <v>19</v>
      </c>
      <c r="B12" s="5" t="s">
        <v>55</v>
      </c>
      <c r="C12" s="121">
        <v>63</v>
      </c>
      <c r="D12" s="122">
        <v>44</v>
      </c>
      <c r="E12" s="122">
        <v>424</v>
      </c>
      <c r="F12" s="122">
        <v>423</v>
      </c>
      <c r="G12" s="122">
        <v>93</v>
      </c>
      <c r="H12" s="122">
        <v>86</v>
      </c>
      <c r="I12" s="122">
        <v>4256</v>
      </c>
      <c r="J12" s="122">
        <v>2987</v>
      </c>
      <c r="K12" s="122">
        <v>24</v>
      </c>
      <c r="L12" s="122">
        <v>6</v>
      </c>
      <c r="M12" s="122">
        <v>4860</v>
      </c>
      <c r="N12" s="122">
        <v>3546</v>
      </c>
      <c r="O12" s="123">
        <v>8406</v>
      </c>
    </row>
    <row r="13" spans="1:15" x14ac:dyDescent="0.3">
      <c r="A13" s="120" t="s">
        <v>20</v>
      </c>
      <c r="B13" s="5" t="s">
        <v>55</v>
      </c>
      <c r="C13" s="121">
        <v>3</v>
      </c>
      <c r="D13" s="122">
        <v>2</v>
      </c>
      <c r="E13" s="122">
        <v>0</v>
      </c>
      <c r="F13" s="122">
        <v>0</v>
      </c>
      <c r="G13" s="122">
        <v>0</v>
      </c>
      <c r="H13" s="122">
        <v>0</v>
      </c>
      <c r="I13" s="122">
        <v>1375</v>
      </c>
      <c r="J13" s="122">
        <v>983</v>
      </c>
      <c r="K13" s="122">
        <v>258</v>
      </c>
      <c r="L13" s="122">
        <v>122</v>
      </c>
      <c r="M13" s="122">
        <v>1636</v>
      </c>
      <c r="N13" s="122">
        <v>1107</v>
      </c>
      <c r="O13" s="123">
        <v>2743</v>
      </c>
    </row>
    <row r="14" spans="1:15" x14ac:dyDescent="0.3">
      <c r="A14" s="120" t="s">
        <v>21</v>
      </c>
      <c r="B14" s="5" t="s">
        <v>55</v>
      </c>
      <c r="C14" s="121">
        <v>3736</v>
      </c>
      <c r="D14" s="122">
        <v>2449</v>
      </c>
      <c r="E14" s="122">
        <v>6242</v>
      </c>
      <c r="F14" s="122">
        <v>4835</v>
      </c>
      <c r="G14" s="122">
        <v>12</v>
      </c>
      <c r="H14" s="122">
        <v>12</v>
      </c>
      <c r="I14" s="122">
        <v>1079</v>
      </c>
      <c r="J14" s="122">
        <v>526</v>
      </c>
      <c r="K14" s="122">
        <v>1294</v>
      </c>
      <c r="L14" s="122">
        <v>1328</v>
      </c>
      <c r="M14" s="122">
        <v>12363</v>
      </c>
      <c r="N14" s="122">
        <v>9150</v>
      </c>
      <c r="O14" s="123">
        <v>21513</v>
      </c>
    </row>
    <row r="15" spans="1:15" x14ac:dyDescent="0.3">
      <c r="A15" s="120" t="s">
        <v>22</v>
      </c>
      <c r="B15" s="5" t="s">
        <v>55</v>
      </c>
      <c r="C15" s="121">
        <v>55</v>
      </c>
      <c r="D15" s="122">
        <v>25</v>
      </c>
      <c r="E15" s="122">
        <v>182</v>
      </c>
      <c r="F15" s="122">
        <v>137</v>
      </c>
      <c r="G15" s="122">
        <v>0</v>
      </c>
      <c r="H15" s="122">
        <v>0</v>
      </c>
      <c r="I15" s="122">
        <v>4012</v>
      </c>
      <c r="J15" s="122">
        <v>3408</v>
      </c>
      <c r="K15" s="122">
        <v>196</v>
      </c>
      <c r="L15" s="122">
        <v>207</v>
      </c>
      <c r="M15" s="122">
        <v>4445</v>
      </c>
      <c r="N15" s="122">
        <v>3777</v>
      </c>
      <c r="O15" s="123">
        <v>8222</v>
      </c>
    </row>
    <row r="16" spans="1:15" x14ac:dyDescent="0.3">
      <c r="A16" s="120" t="s">
        <v>67</v>
      </c>
      <c r="B16" s="5" t="s">
        <v>55</v>
      </c>
      <c r="C16" s="121">
        <v>51</v>
      </c>
      <c r="D16" s="122">
        <v>91</v>
      </c>
      <c r="E16" s="122">
        <v>223</v>
      </c>
      <c r="F16" s="122">
        <v>119</v>
      </c>
      <c r="G16" s="122">
        <v>0</v>
      </c>
      <c r="H16" s="122">
        <v>0</v>
      </c>
      <c r="I16" s="122">
        <v>5153</v>
      </c>
      <c r="J16" s="122">
        <v>4469</v>
      </c>
      <c r="K16" s="122">
        <v>338</v>
      </c>
      <c r="L16" s="122">
        <v>260</v>
      </c>
      <c r="M16" s="122">
        <v>5765</v>
      </c>
      <c r="N16" s="122">
        <v>4939</v>
      </c>
      <c r="O16" s="123">
        <v>10704</v>
      </c>
    </row>
    <row r="17" spans="1:15" x14ac:dyDescent="0.3">
      <c r="A17" s="120" t="s">
        <v>68</v>
      </c>
      <c r="B17" s="5" t="s">
        <v>55</v>
      </c>
      <c r="C17" s="121">
        <v>15</v>
      </c>
      <c r="D17" s="122">
        <v>24</v>
      </c>
      <c r="E17" s="122">
        <v>46</v>
      </c>
      <c r="F17" s="122">
        <v>53</v>
      </c>
      <c r="G17" s="122">
        <v>0</v>
      </c>
      <c r="H17" s="122">
        <v>0</v>
      </c>
      <c r="I17" s="122">
        <v>4557</v>
      </c>
      <c r="J17" s="122">
        <v>2949</v>
      </c>
      <c r="K17" s="122">
        <v>311</v>
      </c>
      <c r="L17" s="122">
        <v>239</v>
      </c>
      <c r="M17" s="122">
        <v>4929</v>
      </c>
      <c r="N17" s="122">
        <v>3265</v>
      </c>
      <c r="O17" s="123">
        <v>8194</v>
      </c>
    </row>
    <row r="18" spans="1:15" x14ac:dyDescent="0.3">
      <c r="A18" s="120" t="s">
        <v>69</v>
      </c>
      <c r="B18" s="5" t="s">
        <v>55</v>
      </c>
      <c r="C18" s="121">
        <v>2434</v>
      </c>
      <c r="D18" s="122">
        <v>1871</v>
      </c>
      <c r="E18" s="122">
        <v>487</v>
      </c>
      <c r="F18" s="122">
        <v>317</v>
      </c>
      <c r="G18" s="122">
        <v>59</v>
      </c>
      <c r="H18" s="122">
        <v>51</v>
      </c>
      <c r="I18" s="122">
        <v>6420</v>
      </c>
      <c r="J18" s="122">
        <v>5039</v>
      </c>
      <c r="K18" s="122">
        <v>0</v>
      </c>
      <c r="L18" s="122">
        <v>0</v>
      </c>
      <c r="M18" s="122">
        <v>9400</v>
      </c>
      <c r="N18" s="122">
        <v>7278</v>
      </c>
      <c r="O18" s="123">
        <v>16678</v>
      </c>
    </row>
    <row r="19" spans="1:15" ht="43.2" x14ac:dyDescent="0.3">
      <c r="A19" s="124" t="s">
        <v>154</v>
      </c>
      <c r="B19" s="5" t="s">
        <v>55</v>
      </c>
      <c r="C19" s="121">
        <v>436</v>
      </c>
      <c r="D19" s="122">
        <v>202</v>
      </c>
      <c r="E19" s="122">
        <v>472</v>
      </c>
      <c r="F19" s="122">
        <v>293</v>
      </c>
      <c r="G19" s="122">
        <v>27</v>
      </c>
      <c r="H19" s="122">
        <v>27</v>
      </c>
      <c r="I19" s="122">
        <v>10641</v>
      </c>
      <c r="J19" s="122">
        <v>7119</v>
      </c>
      <c r="K19" s="122">
        <v>532</v>
      </c>
      <c r="L19" s="122">
        <v>545</v>
      </c>
      <c r="M19" s="122">
        <v>12108</v>
      </c>
      <c r="N19" s="122">
        <v>8186</v>
      </c>
      <c r="O19" s="123">
        <v>20294</v>
      </c>
    </row>
    <row r="20" spans="1:15" x14ac:dyDescent="0.3">
      <c r="A20" s="120" t="s">
        <v>70</v>
      </c>
      <c r="B20" s="5" t="s">
        <v>55</v>
      </c>
      <c r="C20" s="121">
        <v>2</v>
      </c>
      <c r="D20" s="122">
        <v>2</v>
      </c>
      <c r="E20" s="122">
        <v>25</v>
      </c>
      <c r="F20" s="122">
        <v>32</v>
      </c>
      <c r="G20" s="122">
        <v>0</v>
      </c>
      <c r="H20" s="122">
        <v>0</v>
      </c>
      <c r="I20" s="122">
        <v>3164</v>
      </c>
      <c r="J20" s="122">
        <v>1598</v>
      </c>
      <c r="K20" s="122">
        <v>0</v>
      </c>
      <c r="L20" s="122">
        <v>0</v>
      </c>
      <c r="M20" s="122">
        <v>3191</v>
      </c>
      <c r="N20" s="122">
        <v>1632</v>
      </c>
      <c r="O20" s="123">
        <v>4823</v>
      </c>
    </row>
    <row r="21" spans="1:15" x14ac:dyDescent="0.3">
      <c r="A21" s="120" t="s">
        <v>71</v>
      </c>
      <c r="B21" s="5" t="s">
        <v>55</v>
      </c>
      <c r="C21" s="121">
        <v>175</v>
      </c>
      <c r="D21" s="122">
        <v>104</v>
      </c>
      <c r="E21" s="122">
        <v>504</v>
      </c>
      <c r="F21" s="122">
        <v>304</v>
      </c>
      <c r="G21" s="122">
        <v>0</v>
      </c>
      <c r="H21" s="122">
        <v>0</v>
      </c>
      <c r="I21" s="122">
        <v>18718</v>
      </c>
      <c r="J21" s="122">
        <v>16158</v>
      </c>
      <c r="K21" s="122">
        <v>0</v>
      </c>
      <c r="L21" s="122">
        <v>0</v>
      </c>
      <c r="M21" s="122">
        <v>19397</v>
      </c>
      <c r="N21" s="122">
        <v>16566</v>
      </c>
      <c r="O21" s="123">
        <v>35963</v>
      </c>
    </row>
    <row r="22" spans="1:15" x14ac:dyDescent="0.3">
      <c r="A22" s="120" t="s">
        <v>72</v>
      </c>
      <c r="B22" s="5" t="s">
        <v>55</v>
      </c>
      <c r="C22" s="121">
        <v>0</v>
      </c>
      <c r="D22" s="122">
        <v>0</v>
      </c>
      <c r="E22" s="122">
        <v>14</v>
      </c>
      <c r="F22" s="122">
        <v>6</v>
      </c>
      <c r="G22" s="122">
        <v>0</v>
      </c>
      <c r="H22" s="122">
        <v>0</v>
      </c>
      <c r="I22" s="122">
        <v>2930</v>
      </c>
      <c r="J22" s="122">
        <v>1712</v>
      </c>
      <c r="K22" s="122">
        <v>420</v>
      </c>
      <c r="L22" s="122">
        <v>430</v>
      </c>
      <c r="M22" s="122">
        <v>3364</v>
      </c>
      <c r="N22" s="122">
        <v>2148</v>
      </c>
      <c r="O22" s="123">
        <v>5512</v>
      </c>
    </row>
    <row r="23" spans="1:15" ht="28.8" x14ac:dyDescent="0.3">
      <c r="A23" s="124" t="s">
        <v>155</v>
      </c>
      <c r="B23" s="5" t="s">
        <v>55</v>
      </c>
      <c r="C23" s="121">
        <v>13</v>
      </c>
      <c r="D23" s="122">
        <v>13</v>
      </c>
      <c r="E23" s="122">
        <v>22</v>
      </c>
      <c r="F23" s="122">
        <v>16</v>
      </c>
      <c r="G23" s="122">
        <v>0</v>
      </c>
      <c r="H23" s="122">
        <v>0</v>
      </c>
      <c r="I23" s="122">
        <v>1974</v>
      </c>
      <c r="J23" s="122">
        <v>1165</v>
      </c>
      <c r="K23" s="122">
        <v>106</v>
      </c>
      <c r="L23" s="122">
        <v>66</v>
      </c>
      <c r="M23" s="122">
        <v>2115</v>
      </c>
      <c r="N23" s="122">
        <v>1260</v>
      </c>
      <c r="O23" s="123">
        <v>3375</v>
      </c>
    </row>
    <row r="24" spans="1:15" x14ac:dyDescent="0.3">
      <c r="A24" s="120" t="s">
        <v>26</v>
      </c>
      <c r="B24" s="5" t="s">
        <v>55</v>
      </c>
      <c r="C24" s="121">
        <v>5</v>
      </c>
      <c r="D24" s="122">
        <v>4</v>
      </c>
      <c r="E24" s="122">
        <v>28</v>
      </c>
      <c r="F24" s="122">
        <v>23</v>
      </c>
      <c r="G24" s="122">
        <v>0</v>
      </c>
      <c r="H24" s="122">
        <v>0</v>
      </c>
      <c r="I24" s="122">
        <v>3752</v>
      </c>
      <c r="J24" s="122">
        <v>2825</v>
      </c>
      <c r="K24" s="122">
        <v>0</v>
      </c>
      <c r="L24" s="122">
        <v>0</v>
      </c>
      <c r="M24" s="122">
        <v>3785</v>
      </c>
      <c r="N24" s="122">
        <v>2852</v>
      </c>
      <c r="O24" s="123">
        <v>6637</v>
      </c>
    </row>
    <row r="25" spans="1:15" x14ac:dyDescent="0.3">
      <c r="A25" s="120" t="s">
        <v>27</v>
      </c>
      <c r="B25" s="5" t="s">
        <v>55</v>
      </c>
      <c r="C25" s="121">
        <v>60</v>
      </c>
      <c r="D25" s="122">
        <v>27</v>
      </c>
      <c r="E25" s="122">
        <v>91</v>
      </c>
      <c r="F25" s="122">
        <v>60</v>
      </c>
      <c r="G25" s="122">
        <v>0</v>
      </c>
      <c r="H25" s="122">
        <v>0</v>
      </c>
      <c r="I25" s="122">
        <v>3054</v>
      </c>
      <c r="J25" s="122">
        <v>2362</v>
      </c>
      <c r="K25" s="122">
        <v>287</v>
      </c>
      <c r="L25" s="122">
        <v>283</v>
      </c>
      <c r="M25" s="122">
        <v>3492</v>
      </c>
      <c r="N25" s="122">
        <v>2732</v>
      </c>
      <c r="O25" s="123">
        <v>6224</v>
      </c>
    </row>
    <row r="26" spans="1:15" x14ac:dyDescent="0.3">
      <c r="A26" s="120" t="s">
        <v>29</v>
      </c>
      <c r="B26" s="5" t="s">
        <v>55</v>
      </c>
      <c r="C26" s="121">
        <v>47</v>
      </c>
      <c r="D26" s="122">
        <v>38</v>
      </c>
      <c r="E26" s="122">
        <v>239</v>
      </c>
      <c r="F26" s="122">
        <v>175</v>
      </c>
      <c r="G26" s="122">
        <v>0</v>
      </c>
      <c r="H26" s="122">
        <v>0</v>
      </c>
      <c r="I26" s="122">
        <v>3969</v>
      </c>
      <c r="J26" s="122">
        <v>2609</v>
      </c>
      <c r="K26" s="122">
        <v>18</v>
      </c>
      <c r="L26" s="122">
        <v>8</v>
      </c>
      <c r="M26" s="122">
        <v>4273</v>
      </c>
      <c r="N26" s="122">
        <v>2830</v>
      </c>
      <c r="O26" s="123">
        <v>7103</v>
      </c>
    </row>
    <row r="27" spans="1:15" x14ac:dyDescent="0.3">
      <c r="A27" s="120" t="s">
        <v>31</v>
      </c>
      <c r="B27" s="5" t="s">
        <v>55</v>
      </c>
      <c r="C27" s="121">
        <v>0</v>
      </c>
      <c r="D27" s="122">
        <v>0</v>
      </c>
      <c r="E27" s="122">
        <v>18</v>
      </c>
      <c r="F27" s="122">
        <v>9</v>
      </c>
      <c r="G27" s="122">
        <v>0</v>
      </c>
      <c r="H27" s="122">
        <v>0</v>
      </c>
      <c r="I27" s="122">
        <v>1107</v>
      </c>
      <c r="J27" s="122">
        <v>519</v>
      </c>
      <c r="K27" s="122">
        <v>0</v>
      </c>
      <c r="L27" s="122">
        <v>0</v>
      </c>
      <c r="M27" s="122">
        <v>1125</v>
      </c>
      <c r="N27" s="122">
        <v>528</v>
      </c>
      <c r="O27" s="123">
        <v>1653</v>
      </c>
    </row>
    <row r="28" spans="1:15" x14ac:dyDescent="0.3">
      <c r="A28" s="120" t="s">
        <v>33</v>
      </c>
      <c r="B28" s="5" t="s">
        <v>55</v>
      </c>
      <c r="C28" s="121">
        <v>19</v>
      </c>
      <c r="D28" s="122">
        <v>6</v>
      </c>
      <c r="E28" s="122">
        <v>27</v>
      </c>
      <c r="F28" s="122">
        <v>18</v>
      </c>
      <c r="G28" s="122">
        <v>0</v>
      </c>
      <c r="H28" s="122">
        <v>0</v>
      </c>
      <c r="I28" s="122">
        <v>7523</v>
      </c>
      <c r="J28" s="122">
        <v>2831</v>
      </c>
      <c r="K28" s="122">
        <v>0</v>
      </c>
      <c r="L28" s="122">
        <v>0</v>
      </c>
      <c r="M28" s="122">
        <v>7569</v>
      </c>
      <c r="N28" s="122">
        <v>2855</v>
      </c>
      <c r="O28" s="123">
        <v>10424</v>
      </c>
    </row>
    <row r="29" spans="1:15" x14ac:dyDescent="0.3">
      <c r="A29" s="120" t="s">
        <v>73</v>
      </c>
      <c r="B29" s="5" t="s">
        <v>55</v>
      </c>
      <c r="C29" s="121">
        <v>0</v>
      </c>
      <c r="D29" s="122">
        <v>2</v>
      </c>
      <c r="E29" s="122">
        <v>41</v>
      </c>
      <c r="F29" s="122">
        <v>12</v>
      </c>
      <c r="G29" s="122">
        <v>0</v>
      </c>
      <c r="H29" s="122">
        <v>0</v>
      </c>
      <c r="I29" s="122">
        <v>5335</v>
      </c>
      <c r="J29" s="122">
        <v>2153</v>
      </c>
      <c r="K29" s="122">
        <v>0</v>
      </c>
      <c r="L29" s="122">
        <v>0</v>
      </c>
      <c r="M29" s="122">
        <v>5376</v>
      </c>
      <c r="N29" s="122">
        <v>2167</v>
      </c>
      <c r="O29" s="123">
        <v>7543</v>
      </c>
    </row>
    <row r="30" spans="1:15" x14ac:dyDescent="0.3">
      <c r="A30" s="120" t="s">
        <v>34</v>
      </c>
      <c r="B30" s="5" t="s">
        <v>55</v>
      </c>
      <c r="C30" s="121">
        <v>0</v>
      </c>
      <c r="D30" s="122">
        <v>0</v>
      </c>
      <c r="E30" s="122">
        <v>52</v>
      </c>
      <c r="F30" s="122">
        <v>31</v>
      </c>
      <c r="G30" s="122">
        <v>0</v>
      </c>
      <c r="H30" s="122">
        <v>0</v>
      </c>
      <c r="I30" s="122">
        <v>1415</v>
      </c>
      <c r="J30" s="122">
        <v>1645</v>
      </c>
      <c r="K30" s="122">
        <v>0</v>
      </c>
      <c r="L30" s="122">
        <v>0</v>
      </c>
      <c r="M30" s="122">
        <v>1467</v>
      </c>
      <c r="N30" s="122">
        <v>1676</v>
      </c>
      <c r="O30" s="123">
        <v>3143</v>
      </c>
    </row>
    <row r="31" spans="1:15" x14ac:dyDescent="0.3">
      <c r="A31" s="120" t="s">
        <v>35</v>
      </c>
      <c r="B31" s="5" t="s">
        <v>55</v>
      </c>
      <c r="C31" s="121">
        <v>7</v>
      </c>
      <c r="D31" s="122">
        <v>1</v>
      </c>
      <c r="E31" s="122">
        <v>37</v>
      </c>
      <c r="F31" s="122">
        <v>28</v>
      </c>
      <c r="G31" s="122">
        <v>0</v>
      </c>
      <c r="H31" s="122">
        <v>0</v>
      </c>
      <c r="I31" s="122">
        <v>7490</v>
      </c>
      <c r="J31" s="122">
        <v>6042</v>
      </c>
      <c r="K31" s="122">
        <v>0</v>
      </c>
      <c r="L31" s="122">
        <v>0</v>
      </c>
      <c r="M31" s="122">
        <v>7534</v>
      </c>
      <c r="N31" s="122">
        <v>6071</v>
      </c>
      <c r="O31" s="123">
        <v>13605</v>
      </c>
    </row>
    <row r="32" spans="1:15" x14ac:dyDescent="0.3">
      <c r="A32" s="120" t="s">
        <v>36</v>
      </c>
      <c r="B32" s="5" t="s">
        <v>55</v>
      </c>
      <c r="C32" s="121">
        <v>28</v>
      </c>
      <c r="D32" s="122">
        <v>19</v>
      </c>
      <c r="E32" s="122">
        <v>69</v>
      </c>
      <c r="F32" s="122">
        <v>54</v>
      </c>
      <c r="G32" s="122">
        <v>0</v>
      </c>
      <c r="H32" s="122">
        <v>0</v>
      </c>
      <c r="I32" s="122">
        <v>3032</v>
      </c>
      <c r="J32" s="122">
        <v>2286</v>
      </c>
      <c r="K32" s="122">
        <v>19</v>
      </c>
      <c r="L32" s="122">
        <v>27</v>
      </c>
      <c r="M32" s="122">
        <v>3148</v>
      </c>
      <c r="N32" s="122">
        <v>2386</v>
      </c>
      <c r="O32" s="123">
        <v>5534</v>
      </c>
    </row>
    <row r="33" spans="1:24" x14ac:dyDescent="0.3">
      <c r="A33" s="120" t="s">
        <v>37</v>
      </c>
      <c r="B33" s="5" t="s">
        <v>55</v>
      </c>
      <c r="C33" s="121">
        <v>22</v>
      </c>
      <c r="D33" s="122">
        <v>6</v>
      </c>
      <c r="E33" s="122">
        <v>108</v>
      </c>
      <c r="F33" s="122">
        <v>78</v>
      </c>
      <c r="G33" s="122">
        <v>0</v>
      </c>
      <c r="H33" s="122">
        <v>0</v>
      </c>
      <c r="I33" s="122">
        <v>4007</v>
      </c>
      <c r="J33" s="122">
        <v>3489</v>
      </c>
      <c r="K33" s="122">
        <v>392</v>
      </c>
      <c r="L33" s="122">
        <v>318</v>
      </c>
      <c r="M33" s="122">
        <v>4529</v>
      </c>
      <c r="N33" s="122">
        <v>3891</v>
      </c>
      <c r="O33" s="123">
        <v>8420</v>
      </c>
    </row>
    <row r="34" spans="1:24" x14ac:dyDescent="0.3">
      <c r="A34" s="120" t="s">
        <v>38</v>
      </c>
      <c r="B34" s="5" t="s">
        <v>55</v>
      </c>
      <c r="C34" s="121">
        <v>986</v>
      </c>
      <c r="D34" s="122">
        <v>306</v>
      </c>
      <c r="E34" s="122">
        <v>7601</v>
      </c>
      <c r="F34" s="122">
        <v>3908</v>
      </c>
      <c r="G34" s="122">
        <v>169</v>
      </c>
      <c r="H34" s="122">
        <v>31</v>
      </c>
      <c r="I34" s="122">
        <v>34779</v>
      </c>
      <c r="J34" s="122">
        <v>20056</v>
      </c>
      <c r="K34" s="122">
        <v>3330</v>
      </c>
      <c r="L34" s="122">
        <v>444</v>
      </c>
      <c r="M34" s="122">
        <v>46865</v>
      </c>
      <c r="N34" s="122">
        <v>24745</v>
      </c>
      <c r="O34" s="123">
        <v>71610</v>
      </c>
    </row>
    <row r="35" spans="1:24" ht="28.8" x14ac:dyDescent="0.3">
      <c r="A35" s="124" t="s">
        <v>156</v>
      </c>
      <c r="B35" s="125" t="s">
        <v>56</v>
      </c>
      <c r="C35" s="121">
        <v>0</v>
      </c>
      <c r="D35" s="123">
        <v>0</v>
      </c>
      <c r="E35" s="123">
        <v>0</v>
      </c>
      <c r="F35" s="123">
        <v>0</v>
      </c>
      <c r="G35" s="123">
        <v>0</v>
      </c>
      <c r="H35" s="123">
        <v>0</v>
      </c>
      <c r="I35" s="123">
        <v>162</v>
      </c>
      <c r="J35" s="123">
        <v>127</v>
      </c>
      <c r="K35" s="123">
        <v>2</v>
      </c>
      <c r="L35" s="123">
        <v>1</v>
      </c>
      <c r="M35" s="123">
        <v>164</v>
      </c>
      <c r="N35" s="123">
        <v>128</v>
      </c>
      <c r="O35" s="123">
        <v>292</v>
      </c>
      <c r="P35" s="126"/>
      <c r="R35" s="126"/>
      <c r="T35" s="126"/>
      <c r="V35" s="126"/>
      <c r="X35" s="126"/>
    </row>
    <row r="36" spans="1:24" ht="28.8" x14ac:dyDescent="0.3">
      <c r="A36" s="124" t="s">
        <v>157</v>
      </c>
      <c r="B36" s="125" t="s">
        <v>56</v>
      </c>
      <c r="C36" s="121">
        <v>0</v>
      </c>
      <c r="D36" s="123">
        <v>0</v>
      </c>
      <c r="E36" s="123">
        <v>0</v>
      </c>
      <c r="F36" s="123">
        <v>0</v>
      </c>
      <c r="G36" s="123">
        <v>0</v>
      </c>
      <c r="H36" s="123">
        <v>0</v>
      </c>
      <c r="I36" s="123">
        <v>211</v>
      </c>
      <c r="J36" s="123">
        <v>223</v>
      </c>
      <c r="K36" s="123">
        <v>5</v>
      </c>
      <c r="L36" s="123">
        <v>2</v>
      </c>
      <c r="M36" s="123">
        <v>216</v>
      </c>
      <c r="N36" s="123">
        <v>225</v>
      </c>
      <c r="O36" s="123">
        <v>441</v>
      </c>
      <c r="P36" s="126"/>
      <c r="R36" s="126"/>
      <c r="T36" s="126"/>
      <c r="V36" s="126"/>
      <c r="X36" s="126"/>
    </row>
    <row r="37" spans="1:24" x14ac:dyDescent="0.3">
      <c r="A37" s="120" t="s">
        <v>74</v>
      </c>
      <c r="B37" s="125" t="s">
        <v>56</v>
      </c>
      <c r="C37" s="121">
        <v>0</v>
      </c>
      <c r="D37" s="123">
        <v>0</v>
      </c>
      <c r="E37" s="123">
        <v>0</v>
      </c>
      <c r="F37" s="123">
        <v>0</v>
      </c>
      <c r="G37" s="123">
        <v>0</v>
      </c>
      <c r="H37" s="123">
        <v>0</v>
      </c>
      <c r="I37" s="123">
        <v>934</v>
      </c>
      <c r="J37" s="123">
        <v>747</v>
      </c>
      <c r="K37" s="123">
        <v>17</v>
      </c>
      <c r="L37" s="123">
        <v>27</v>
      </c>
      <c r="M37" s="123">
        <v>951</v>
      </c>
      <c r="N37" s="123">
        <v>774</v>
      </c>
      <c r="O37" s="123">
        <v>1725</v>
      </c>
      <c r="P37" s="127"/>
      <c r="R37" s="127"/>
      <c r="T37" s="127"/>
      <c r="V37" s="127"/>
      <c r="X37" s="127"/>
    </row>
    <row r="38" spans="1:24" ht="28.8" x14ac:dyDescent="0.3">
      <c r="A38" s="124" t="s">
        <v>158</v>
      </c>
      <c r="B38" s="125" t="s">
        <v>56</v>
      </c>
      <c r="C38" s="121">
        <v>5</v>
      </c>
      <c r="D38" s="123">
        <v>2</v>
      </c>
      <c r="E38" s="123">
        <v>26</v>
      </c>
      <c r="F38" s="123">
        <v>21</v>
      </c>
      <c r="G38" s="123">
        <v>0</v>
      </c>
      <c r="H38" s="123">
        <v>0</v>
      </c>
      <c r="I38" s="123">
        <v>30</v>
      </c>
      <c r="J38" s="123">
        <v>35</v>
      </c>
      <c r="K38" s="123">
        <v>43</v>
      </c>
      <c r="L38" s="123">
        <v>25</v>
      </c>
      <c r="M38" s="123">
        <v>104</v>
      </c>
      <c r="N38" s="123">
        <v>83</v>
      </c>
      <c r="O38" s="123">
        <v>187</v>
      </c>
      <c r="P38" s="126"/>
      <c r="R38" s="126"/>
      <c r="T38" s="126"/>
      <c r="V38" s="126"/>
      <c r="X38" s="126"/>
    </row>
    <row r="39" spans="1:24" x14ac:dyDescent="0.3">
      <c r="A39" s="120" t="s">
        <v>75</v>
      </c>
      <c r="B39" s="125" t="s">
        <v>56</v>
      </c>
      <c r="C39" s="121">
        <v>11</v>
      </c>
      <c r="D39" s="123">
        <v>2</v>
      </c>
      <c r="E39" s="123">
        <v>9</v>
      </c>
      <c r="F39" s="123">
        <v>3</v>
      </c>
      <c r="G39" s="123">
        <v>0</v>
      </c>
      <c r="H39" s="123">
        <v>0</v>
      </c>
      <c r="I39" s="123">
        <v>501</v>
      </c>
      <c r="J39" s="123">
        <v>337</v>
      </c>
      <c r="K39" s="123">
        <v>13</v>
      </c>
      <c r="L39" s="123">
        <v>20</v>
      </c>
      <c r="M39" s="123">
        <v>534</v>
      </c>
      <c r="N39" s="123">
        <v>362</v>
      </c>
      <c r="O39" s="123">
        <v>896</v>
      </c>
      <c r="P39" s="126"/>
      <c r="R39" s="126"/>
      <c r="T39" s="126"/>
      <c r="V39" s="126"/>
      <c r="X39" s="126"/>
    </row>
    <row r="40" spans="1:24" ht="28.8" x14ac:dyDescent="0.3">
      <c r="A40" s="124" t="s">
        <v>159</v>
      </c>
      <c r="B40" s="125" t="s">
        <v>56</v>
      </c>
      <c r="C40" s="121">
        <v>0</v>
      </c>
      <c r="D40" s="123">
        <v>0</v>
      </c>
      <c r="E40" s="123">
        <v>18</v>
      </c>
      <c r="F40" s="123">
        <v>2</v>
      </c>
      <c r="G40" s="123">
        <v>0</v>
      </c>
      <c r="H40" s="123">
        <v>0</v>
      </c>
      <c r="I40" s="123">
        <v>148</v>
      </c>
      <c r="J40" s="123">
        <v>60</v>
      </c>
      <c r="K40" s="123">
        <v>62</v>
      </c>
      <c r="L40" s="123">
        <v>19</v>
      </c>
      <c r="M40" s="123">
        <v>228</v>
      </c>
      <c r="N40" s="123">
        <v>81</v>
      </c>
      <c r="O40" s="123">
        <v>309</v>
      </c>
      <c r="P40" s="126"/>
      <c r="R40" s="126"/>
      <c r="T40" s="126"/>
      <c r="V40" s="126"/>
      <c r="X40" s="126"/>
    </row>
    <row r="41" spans="1:24" x14ac:dyDescent="0.3">
      <c r="A41" s="120" t="s">
        <v>5</v>
      </c>
      <c r="B41" s="5" t="s">
        <v>57</v>
      </c>
      <c r="C41" s="121">
        <v>110</v>
      </c>
      <c r="D41" s="123">
        <v>13</v>
      </c>
      <c r="E41" s="123">
        <v>484</v>
      </c>
      <c r="F41" s="122">
        <v>43</v>
      </c>
      <c r="G41" s="122">
        <v>0</v>
      </c>
      <c r="H41" s="123">
        <v>0</v>
      </c>
      <c r="I41" s="123">
        <v>0</v>
      </c>
      <c r="J41" s="122">
        <v>0</v>
      </c>
      <c r="K41" s="122">
        <v>0</v>
      </c>
      <c r="L41" s="123">
        <v>0</v>
      </c>
      <c r="M41" s="123">
        <v>594</v>
      </c>
      <c r="N41" s="122">
        <v>56</v>
      </c>
      <c r="O41" s="123">
        <v>650</v>
      </c>
      <c r="R41" s="126"/>
    </row>
    <row r="42" spans="1:24" x14ac:dyDescent="0.3">
      <c r="A42" s="120" t="s">
        <v>6</v>
      </c>
      <c r="B42" s="5" t="s">
        <v>57</v>
      </c>
      <c r="C42" s="121">
        <v>37</v>
      </c>
      <c r="D42" s="123">
        <v>13</v>
      </c>
      <c r="E42" s="123">
        <v>171</v>
      </c>
      <c r="F42" s="122">
        <v>68</v>
      </c>
      <c r="G42" s="122">
        <v>5</v>
      </c>
      <c r="H42" s="123">
        <v>3</v>
      </c>
      <c r="I42" s="123">
        <v>416</v>
      </c>
      <c r="J42" s="122">
        <v>259</v>
      </c>
      <c r="K42" s="122">
        <v>24</v>
      </c>
      <c r="L42" s="123">
        <v>49</v>
      </c>
      <c r="M42" s="123">
        <v>653</v>
      </c>
      <c r="N42" s="122">
        <v>392</v>
      </c>
      <c r="O42" s="123">
        <v>1045</v>
      </c>
      <c r="R42" s="126"/>
    </row>
    <row r="43" spans="1:24" x14ac:dyDescent="0.3">
      <c r="A43" s="120" t="s">
        <v>7</v>
      </c>
      <c r="B43" s="5" t="s">
        <v>57</v>
      </c>
      <c r="C43" s="121">
        <v>18</v>
      </c>
      <c r="D43" s="123">
        <v>2</v>
      </c>
      <c r="E43" s="123">
        <v>228</v>
      </c>
      <c r="F43" s="122">
        <v>225</v>
      </c>
      <c r="G43" s="122">
        <v>9</v>
      </c>
      <c r="H43" s="123">
        <v>11</v>
      </c>
      <c r="I43" s="123">
        <v>942</v>
      </c>
      <c r="J43" s="122">
        <v>1350</v>
      </c>
      <c r="K43" s="122">
        <v>199</v>
      </c>
      <c r="L43" s="123">
        <v>291</v>
      </c>
      <c r="M43" s="123">
        <v>1396</v>
      </c>
      <c r="N43" s="122">
        <v>1879</v>
      </c>
      <c r="O43" s="123">
        <v>3275</v>
      </c>
      <c r="R43" s="126"/>
    </row>
    <row r="44" spans="1:24" x14ac:dyDescent="0.3">
      <c r="A44" s="120" t="s">
        <v>8</v>
      </c>
      <c r="B44" s="5" t="s">
        <v>57</v>
      </c>
      <c r="C44" s="121">
        <v>113</v>
      </c>
      <c r="D44" s="123">
        <v>67</v>
      </c>
      <c r="E44" s="123">
        <v>353</v>
      </c>
      <c r="F44" s="122">
        <v>396</v>
      </c>
      <c r="G44" s="122">
        <v>8</v>
      </c>
      <c r="H44" s="123">
        <v>12</v>
      </c>
      <c r="I44" s="123">
        <v>2339</v>
      </c>
      <c r="J44" s="122">
        <v>2516</v>
      </c>
      <c r="K44" s="122">
        <v>140</v>
      </c>
      <c r="L44" s="123">
        <v>136</v>
      </c>
      <c r="M44" s="123">
        <v>2953</v>
      </c>
      <c r="N44" s="122">
        <v>3127</v>
      </c>
      <c r="O44" s="123">
        <v>6080</v>
      </c>
      <c r="R44" s="126"/>
    </row>
    <row r="45" spans="1:24" x14ac:dyDescent="0.3">
      <c r="A45" s="120" t="s">
        <v>10</v>
      </c>
      <c r="B45" s="5" t="s">
        <v>57</v>
      </c>
      <c r="C45" s="121">
        <v>17</v>
      </c>
      <c r="D45" s="123">
        <v>52</v>
      </c>
      <c r="E45" s="123">
        <v>208</v>
      </c>
      <c r="F45" s="122">
        <v>480</v>
      </c>
      <c r="G45" s="122">
        <v>0</v>
      </c>
      <c r="H45" s="123">
        <v>0</v>
      </c>
      <c r="I45" s="123">
        <v>1469</v>
      </c>
      <c r="J45" s="122">
        <v>2231</v>
      </c>
      <c r="K45" s="122">
        <v>137</v>
      </c>
      <c r="L45" s="123">
        <v>178</v>
      </c>
      <c r="M45" s="123">
        <v>1831</v>
      </c>
      <c r="N45" s="122">
        <v>2941</v>
      </c>
      <c r="O45" s="123">
        <v>4772</v>
      </c>
      <c r="R45" s="126"/>
    </row>
    <row r="46" spans="1:24" x14ac:dyDescent="0.3">
      <c r="A46" s="120" t="s">
        <v>76</v>
      </c>
      <c r="B46" s="5" t="s">
        <v>57</v>
      </c>
      <c r="C46" s="121">
        <v>1</v>
      </c>
      <c r="D46" s="123">
        <v>3</v>
      </c>
      <c r="E46" s="123">
        <v>45</v>
      </c>
      <c r="F46" s="122">
        <v>46</v>
      </c>
      <c r="G46" s="122">
        <v>0</v>
      </c>
      <c r="H46" s="123">
        <v>0</v>
      </c>
      <c r="I46" s="123">
        <v>527</v>
      </c>
      <c r="J46" s="122">
        <v>444</v>
      </c>
      <c r="K46" s="122">
        <v>0</v>
      </c>
      <c r="L46" s="123">
        <v>0</v>
      </c>
      <c r="M46" s="123">
        <v>573</v>
      </c>
      <c r="N46" s="122">
        <v>493</v>
      </c>
      <c r="O46" s="123">
        <v>1066</v>
      </c>
      <c r="R46" s="126"/>
    </row>
    <row r="47" spans="1:24" x14ac:dyDescent="0.3">
      <c r="A47" s="120" t="s">
        <v>14</v>
      </c>
      <c r="B47" s="5" t="s">
        <v>57</v>
      </c>
      <c r="C47" s="121">
        <v>77</v>
      </c>
      <c r="D47" s="123">
        <v>53</v>
      </c>
      <c r="E47" s="123">
        <v>47</v>
      </c>
      <c r="F47" s="122">
        <v>44</v>
      </c>
      <c r="G47" s="122">
        <v>0</v>
      </c>
      <c r="H47" s="123">
        <v>0</v>
      </c>
      <c r="I47" s="123">
        <v>3443</v>
      </c>
      <c r="J47" s="122">
        <v>2963</v>
      </c>
      <c r="K47" s="122">
        <v>343</v>
      </c>
      <c r="L47" s="123">
        <v>308</v>
      </c>
      <c r="M47" s="123">
        <v>3910</v>
      </c>
      <c r="N47" s="122">
        <v>3368</v>
      </c>
      <c r="O47" s="123">
        <v>7278</v>
      </c>
      <c r="R47" s="126"/>
    </row>
    <row r="48" spans="1:24" x14ac:dyDescent="0.3">
      <c r="A48" s="120" t="s">
        <v>77</v>
      </c>
      <c r="B48" s="5" t="s">
        <v>57</v>
      </c>
      <c r="C48" s="121">
        <v>0</v>
      </c>
      <c r="D48" s="123">
        <v>0</v>
      </c>
      <c r="E48" s="123">
        <v>40</v>
      </c>
      <c r="F48" s="122">
        <v>13</v>
      </c>
      <c r="G48" s="122">
        <v>0</v>
      </c>
      <c r="H48" s="123">
        <v>0</v>
      </c>
      <c r="I48" s="123">
        <v>110</v>
      </c>
      <c r="J48" s="122">
        <v>77</v>
      </c>
      <c r="K48" s="122">
        <v>0</v>
      </c>
      <c r="L48" s="123">
        <v>0</v>
      </c>
      <c r="M48" s="123">
        <v>150</v>
      </c>
      <c r="N48" s="122">
        <v>90</v>
      </c>
      <c r="O48" s="123">
        <v>240</v>
      </c>
      <c r="R48" s="126"/>
    </row>
    <row r="49" spans="1:18" x14ac:dyDescent="0.3">
      <c r="A49" s="120" t="s">
        <v>16</v>
      </c>
      <c r="B49" s="5" t="s">
        <v>57</v>
      </c>
      <c r="C49" s="121">
        <v>0</v>
      </c>
      <c r="D49" s="123">
        <v>0</v>
      </c>
      <c r="E49" s="123">
        <v>399</v>
      </c>
      <c r="F49" s="122">
        <v>262</v>
      </c>
      <c r="G49" s="122">
        <v>9</v>
      </c>
      <c r="H49" s="123">
        <v>1</v>
      </c>
      <c r="I49" s="123">
        <v>3727</v>
      </c>
      <c r="J49" s="122">
        <v>2789</v>
      </c>
      <c r="K49" s="122">
        <v>0</v>
      </c>
      <c r="L49" s="123">
        <v>0</v>
      </c>
      <c r="M49" s="123">
        <v>4135</v>
      </c>
      <c r="N49" s="122">
        <v>3052</v>
      </c>
      <c r="O49" s="123">
        <v>7187</v>
      </c>
      <c r="R49" s="126"/>
    </row>
    <row r="50" spans="1:18" x14ac:dyDescent="0.3">
      <c r="A50" s="120" t="s">
        <v>78</v>
      </c>
      <c r="B50" s="5" t="s">
        <v>57</v>
      </c>
      <c r="C50" s="121">
        <v>0</v>
      </c>
      <c r="D50" s="123">
        <v>0</v>
      </c>
      <c r="E50" s="123">
        <v>11</v>
      </c>
      <c r="F50" s="122">
        <v>3</v>
      </c>
      <c r="G50" s="122">
        <v>0</v>
      </c>
      <c r="H50" s="123">
        <v>0</v>
      </c>
      <c r="I50" s="123">
        <v>315</v>
      </c>
      <c r="J50" s="122">
        <v>242</v>
      </c>
      <c r="K50" s="122">
        <v>30</v>
      </c>
      <c r="L50" s="123">
        <v>64</v>
      </c>
      <c r="M50" s="123">
        <v>356</v>
      </c>
      <c r="N50" s="122">
        <v>309</v>
      </c>
      <c r="O50" s="123">
        <v>665</v>
      </c>
      <c r="R50" s="126"/>
    </row>
    <row r="51" spans="1:18" x14ac:dyDescent="0.3">
      <c r="A51" s="120" t="s">
        <v>17</v>
      </c>
      <c r="B51" s="5" t="s">
        <v>57</v>
      </c>
      <c r="C51" s="121">
        <v>903</v>
      </c>
      <c r="D51" s="123">
        <v>794</v>
      </c>
      <c r="E51" s="123">
        <v>1392</v>
      </c>
      <c r="F51" s="122">
        <v>1314</v>
      </c>
      <c r="G51" s="122">
        <v>0</v>
      </c>
      <c r="H51" s="123">
        <v>0</v>
      </c>
      <c r="I51" s="123">
        <v>2283</v>
      </c>
      <c r="J51" s="122">
        <v>1739</v>
      </c>
      <c r="K51" s="122">
        <v>0</v>
      </c>
      <c r="L51" s="123">
        <v>0</v>
      </c>
      <c r="M51" s="123">
        <v>4578</v>
      </c>
      <c r="N51" s="122">
        <v>3847</v>
      </c>
      <c r="O51" s="123">
        <v>8425</v>
      </c>
      <c r="R51" s="126"/>
    </row>
    <row r="52" spans="1:18" x14ac:dyDescent="0.3">
      <c r="A52" s="120" t="s">
        <v>24</v>
      </c>
      <c r="B52" s="5" t="s">
        <v>57</v>
      </c>
      <c r="C52" s="121">
        <v>16</v>
      </c>
      <c r="D52" s="123">
        <v>5</v>
      </c>
      <c r="E52" s="123">
        <v>530</v>
      </c>
      <c r="F52" s="122">
        <v>298</v>
      </c>
      <c r="G52" s="122">
        <v>184</v>
      </c>
      <c r="H52" s="123">
        <v>97</v>
      </c>
      <c r="I52" s="123">
        <v>15513</v>
      </c>
      <c r="J52" s="122">
        <v>11292</v>
      </c>
      <c r="K52" s="122">
        <v>0</v>
      </c>
      <c r="L52" s="123">
        <v>0</v>
      </c>
      <c r="M52" s="123">
        <v>16243</v>
      </c>
      <c r="N52" s="122">
        <v>11692</v>
      </c>
      <c r="O52" s="123">
        <v>27935</v>
      </c>
      <c r="R52" s="126"/>
    </row>
    <row r="53" spans="1:18" x14ac:dyDescent="0.3">
      <c r="A53" s="120" t="s">
        <v>25</v>
      </c>
      <c r="B53" s="5" t="s">
        <v>57</v>
      </c>
      <c r="C53" s="121">
        <v>46</v>
      </c>
      <c r="D53" s="123">
        <v>49</v>
      </c>
      <c r="E53" s="123">
        <v>73</v>
      </c>
      <c r="F53" s="122">
        <v>79</v>
      </c>
      <c r="G53" s="122">
        <v>2</v>
      </c>
      <c r="H53" s="123">
        <v>2</v>
      </c>
      <c r="I53" s="123">
        <v>287</v>
      </c>
      <c r="J53" s="122">
        <v>241</v>
      </c>
      <c r="K53" s="122">
        <v>569</v>
      </c>
      <c r="L53" s="123">
        <v>903</v>
      </c>
      <c r="M53" s="123">
        <v>977</v>
      </c>
      <c r="N53" s="122">
        <v>1274</v>
      </c>
      <c r="O53" s="123">
        <v>2251</v>
      </c>
      <c r="R53" s="126"/>
    </row>
    <row r="54" spans="1:18" x14ac:dyDescent="0.3">
      <c r="A54" s="120" t="s">
        <v>28</v>
      </c>
      <c r="B54" s="5" t="s">
        <v>57</v>
      </c>
      <c r="C54" s="121">
        <v>0</v>
      </c>
      <c r="D54" s="123">
        <v>0</v>
      </c>
      <c r="E54" s="123">
        <v>30</v>
      </c>
      <c r="F54" s="122">
        <v>13</v>
      </c>
      <c r="G54" s="122">
        <v>0</v>
      </c>
      <c r="H54" s="123">
        <v>0</v>
      </c>
      <c r="I54" s="123">
        <v>282</v>
      </c>
      <c r="J54" s="122">
        <v>226</v>
      </c>
      <c r="K54" s="122">
        <v>33</v>
      </c>
      <c r="L54" s="123">
        <v>18</v>
      </c>
      <c r="M54" s="123">
        <v>345</v>
      </c>
      <c r="N54" s="122">
        <v>257</v>
      </c>
      <c r="O54" s="123">
        <v>602</v>
      </c>
      <c r="R54" s="126"/>
    </row>
    <row r="55" spans="1:18" x14ac:dyDescent="0.3">
      <c r="A55" s="120" t="s">
        <v>79</v>
      </c>
      <c r="B55" s="5" t="s">
        <v>57</v>
      </c>
      <c r="C55" s="121">
        <v>24</v>
      </c>
      <c r="D55" s="123">
        <v>18</v>
      </c>
      <c r="E55" s="123">
        <v>78</v>
      </c>
      <c r="F55" s="122">
        <v>71</v>
      </c>
      <c r="G55" s="122">
        <v>0</v>
      </c>
      <c r="H55" s="123">
        <v>0</v>
      </c>
      <c r="I55" s="123">
        <v>1574</v>
      </c>
      <c r="J55" s="122">
        <v>2016</v>
      </c>
      <c r="K55" s="122">
        <v>0</v>
      </c>
      <c r="L55" s="123">
        <v>0</v>
      </c>
      <c r="M55" s="123">
        <v>1676</v>
      </c>
      <c r="N55" s="122">
        <v>2105</v>
      </c>
      <c r="O55" s="123">
        <v>3781</v>
      </c>
      <c r="R55" s="126"/>
    </row>
    <row r="56" spans="1:18" x14ac:dyDescent="0.3">
      <c r="A56" s="120" t="s">
        <v>30</v>
      </c>
      <c r="B56" s="5" t="s">
        <v>57</v>
      </c>
      <c r="C56" s="121">
        <v>34</v>
      </c>
      <c r="D56" s="123">
        <v>25</v>
      </c>
      <c r="E56" s="123">
        <v>508</v>
      </c>
      <c r="F56" s="122">
        <v>395</v>
      </c>
      <c r="G56" s="122">
        <v>0</v>
      </c>
      <c r="H56" s="123">
        <v>0</v>
      </c>
      <c r="I56" s="123">
        <v>2116</v>
      </c>
      <c r="J56" s="122">
        <v>2174</v>
      </c>
      <c r="K56" s="122">
        <v>0</v>
      </c>
      <c r="L56" s="123">
        <v>0</v>
      </c>
      <c r="M56" s="123">
        <v>2658</v>
      </c>
      <c r="N56" s="122">
        <v>2594</v>
      </c>
      <c r="O56" s="123">
        <v>5252</v>
      </c>
      <c r="R56" s="126"/>
    </row>
    <row r="57" spans="1:18" x14ac:dyDescent="0.3">
      <c r="A57" s="120" t="s">
        <v>80</v>
      </c>
      <c r="B57" s="5" t="s">
        <v>57</v>
      </c>
      <c r="C57" s="121">
        <v>47</v>
      </c>
      <c r="D57" s="123">
        <v>77</v>
      </c>
      <c r="E57" s="123">
        <v>611</v>
      </c>
      <c r="F57" s="122">
        <v>936</v>
      </c>
      <c r="G57" s="122">
        <v>0</v>
      </c>
      <c r="H57" s="123">
        <v>0</v>
      </c>
      <c r="I57" s="123">
        <v>2803</v>
      </c>
      <c r="J57" s="122">
        <v>2837</v>
      </c>
      <c r="K57" s="122">
        <v>0</v>
      </c>
      <c r="L57" s="123">
        <v>0</v>
      </c>
      <c r="M57" s="123">
        <v>3461</v>
      </c>
      <c r="N57" s="122">
        <v>3850</v>
      </c>
      <c r="O57" s="123">
        <v>7311</v>
      </c>
      <c r="R57" s="126"/>
    </row>
    <row r="58" spans="1:18" x14ac:dyDescent="0.3">
      <c r="A58" s="120" t="s">
        <v>81</v>
      </c>
      <c r="B58" s="5" t="s">
        <v>57</v>
      </c>
      <c r="C58" s="121">
        <v>27</v>
      </c>
      <c r="D58" s="123">
        <v>12</v>
      </c>
      <c r="E58" s="123">
        <v>38</v>
      </c>
      <c r="F58" s="122">
        <v>34</v>
      </c>
      <c r="G58" s="122">
        <v>0</v>
      </c>
      <c r="H58" s="123">
        <v>0</v>
      </c>
      <c r="I58" s="123">
        <v>1337</v>
      </c>
      <c r="J58" s="122">
        <v>1297</v>
      </c>
      <c r="K58" s="122">
        <v>90</v>
      </c>
      <c r="L58" s="123">
        <v>79</v>
      </c>
      <c r="M58" s="123">
        <v>1492</v>
      </c>
      <c r="N58" s="122">
        <v>1422</v>
      </c>
      <c r="O58" s="123">
        <v>2914</v>
      </c>
      <c r="R58" s="126"/>
    </row>
    <row r="59" spans="1:18" x14ac:dyDescent="0.3">
      <c r="A59" s="120" t="s">
        <v>13</v>
      </c>
      <c r="B59" s="125" t="s">
        <v>58</v>
      </c>
      <c r="C59" s="121">
        <v>0</v>
      </c>
      <c r="D59" s="122">
        <v>0</v>
      </c>
      <c r="E59" s="122">
        <v>15</v>
      </c>
      <c r="F59" s="122">
        <v>5</v>
      </c>
      <c r="G59" s="122">
        <v>1</v>
      </c>
      <c r="H59" s="122">
        <v>0</v>
      </c>
      <c r="I59" s="122">
        <v>116</v>
      </c>
      <c r="J59" s="122">
        <v>3</v>
      </c>
      <c r="K59" s="122">
        <v>0</v>
      </c>
      <c r="L59" s="122">
        <v>0</v>
      </c>
      <c r="M59" s="122">
        <v>132</v>
      </c>
      <c r="N59" s="122">
        <v>8</v>
      </c>
      <c r="O59" s="123">
        <v>140</v>
      </c>
    </row>
    <row r="60" spans="1:18" x14ac:dyDescent="0.3">
      <c r="A60" s="120" t="s">
        <v>23</v>
      </c>
      <c r="B60" s="125" t="s">
        <v>58</v>
      </c>
      <c r="C60" s="121">
        <v>0</v>
      </c>
      <c r="D60" s="122">
        <v>0</v>
      </c>
      <c r="E60" s="122">
        <v>17</v>
      </c>
      <c r="F60" s="122">
        <v>10</v>
      </c>
      <c r="G60" s="122">
        <v>0</v>
      </c>
      <c r="H60" s="122">
        <v>0</v>
      </c>
      <c r="I60" s="122">
        <v>178</v>
      </c>
      <c r="J60" s="122">
        <v>111</v>
      </c>
      <c r="K60" s="122">
        <v>123</v>
      </c>
      <c r="L60" s="122">
        <v>126</v>
      </c>
      <c r="M60" s="122">
        <v>318</v>
      </c>
      <c r="N60" s="122">
        <v>247</v>
      </c>
      <c r="O60" s="123">
        <v>565</v>
      </c>
    </row>
    <row r="61" spans="1:18" x14ac:dyDescent="0.3">
      <c r="A61" s="120" t="s">
        <v>32</v>
      </c>
      <c r="B61" s="125" t="s">
        <v>58</v>
      </c>
      <c r="C61" s="121">
        <v>46</v>
      </c>
      <c r="D61" s="122">
        <v>22</v>
      </c>
      <c r="E61" s="122">
        <v>130</v>
      </c>
      <c r="F61" s="122">
        <v>129</v>
      </c>
      <c r="G61" s="122">
        <v>0</v>
      </c>
      <c r="H61" s="122">
        <v>0</v>
      </c>
      <c r="I61" s="122">
        <v>739</v>
      </c>
      <c r="J61" s="122">
        <v>288</v>
      </c>
      <c r="K61" s="122">
        <v>0</v>
      </c>
      <c r="L61" s="122">
        <v>0</v>
      </c>
      <c r="M61" s="122">
        <v>915</v>
      </c>
      <c r="N61" s="122">
        <v>439</v>
      </c>
      <c r="O61" s="123">
        <v>1354</v>
      </c>
    </row>
    <row r="62" spans="1:18" x14ac:dyDescent="0.3">
      <c r="A62" s="120" t="s">
        <v>64</v>
      </c>
      <c r="B62" s="125" t="s">
        <v>58</v>
      </c>
      <c r="C62" s="121">
        <v>0</v>
      </c>
      <c r="D62" s="122">
        <v>0</v>
      </c>
      <c r="E62" s="122">
        <v>0</v>
      </c>
      <c r="F62" s="122">
        <v>0</v>
      </c>
      <c r="G62" s="122">
        <v>0</v>
      </c>
      <c r="H62" s="122">
        <v>0</v>
      </c>
      <c r="I62" s="122">
        <v>277</v>
      </c>
      <c r="J62" s="122">
        <v>209</v>
      </c>
      <c r="K62" s="122">
        <v>60</v>
      </c>
      <c r="L62" s="122">
        <v>56</v>
      </c>
      <c r="M62" s="122">
        <v>337</v>
      </c>
      <c r="N62" s="122">
        <v>265</v>
      </c>
      <c r="O62" s="123">
        <v>602</v>
      </c>
    </row>
    <row r="63" spans="1:18" x14ac:dyDescent="0.3">
      <c r="A63" s="120" t="s">
        <v>13</v>
      </c>
      <c r="B63" s="125" t="s">
        <v>59</v>
      </c>
      <c r="C63" s="121">
        <v>0</v>
      </c>
      <c r="D63" s="122">
        <v>0</v>
      </c>
      <c r="E63" s="122">
        <v>15</v>
      </c>
      <c r="F63" s="122">
        <v>5</v>
      </c>
      <c r="G63" s="122">
        <v>1</v>
      </c>
      <c r="H63" s="122">
        <v>0</v>
      </c>
      <c r="I63" s="122">
        <v>116</v>
      </c>
      <c r="J63" s="122">
        <v>3</v>
      </c>
      <c r="K63" s="122">
        <v>0</v>
      </c>
      <c r="L63" s="122">
        <v>0</v>
      </c>
      <c r="M63" s="122">
        <v>132</v>
      </c>
      <c r="N63" s="122">
        <v>8</v>
      </c>
      <c r="O63" s="123">
        <v>140</v>
      </c>
    </row>
    <row r="64" spans="1:18" x14ac:dyDescent="0.3">
      <c r="A64" s="120" t="s">
        <v>23</v>
      </c>
      <c r="B64" s="125" t="s">
        <v>59</v>
      </c>
      <c r="C64" s="121">
        <v>0</v>
      </c>
      <c r="D64" s="122">
        <v>0</v>
      </c>
      <c r="E64" s="122">
        <v>17</v>
      </c>
      <c r="F64" s="122">
        <v>10</v>
      </c>
      <c r="G64" s="122">
        <v>0</v>
      </c>
      <c r="H64" s="122">
        <v>0</v>
      </c>
      <c r="I64" s="122">
        <v>178</v>
      </c>
      <c r="J64" s="122">
        <v>111</v>
      </c>
      <c r="K64" s="122">
        <v>123</v>
      </c>
      <c r="L64" s="122">
        <v>126</v>
      </c>
      <c r="M64" s="122">
        <v>318</v>
      </c>
      <c r="N64" s="122">
        <v>247</v>
      </c>
      <c r="O64" s="123">
        <v>565</v>
      </c>
    </row>
    <row r="65" spans="1:15" x14ac:dyDescent="0.3">
      <c r="A65" s="120" t="s">
        <v>32</v>
      </c>
      <c r="B65" s="125" t="s">
        <v>59</v>
      </c>
      <c r="C65" s="121">
        <v>46</v>
      </c>
      <c r="D65" s="122">
        <v>22</v>
      </c>
      <c r="E65" s="122">
        <v>130</v>
      </c>
      <c r="F65" s="122">
        <v>129</v>
      </c>
      <c r="G65" s="122">
        <v>0</v>
      </c>
      <c r="H65" s="122">
        <v>0</v>
      </c>
      <c r="I65" s="122">
        <v>739</v>
      </c>
      <c r="J65" s="122">
        <v>288</v>
      </c>
      <c r="K65" s="122">
        <v>0</v>
      </c>
      <c r="L65" s="122">
        <v>0</v>
      </c>
      <c r="M65" s="122">
        <v>915</v>
      </c>
      <c r="N65" s="122">
        <v>439</v>
      </c>
      <c r="O65" s="123">
        <v>1354</v>
      </c>
    </row>
    <row r="66" spans="1:15" x14ac:dyDescent="0.3">
      <c r="A66" s="128" t="s">
        <v>64</v>
      </c>
      <c r="B66" s="129" t="s">
        <v>59</v>
      </c>
      <c r="C66" s="130">
        <v>0</v>
      </c>
      <c r="D66" s="131">
        <v>0</v>
      </c>
      <c r="E66" s="131">
        <v>0</v>
      </c>
      <c r="F66" s="131">
        <v>0</v>
      </c>
      <c r="G66" s="131">
        <v>0</v>
      </c>
      <c r="H66" s="131">
        <v>0</v>
      </c>
      <c r="I66" s="131">
        <v>277</v>
      </c>
      <c r="J66" s="131">
        <v>209</v>
      </c>
      <c r="K66" s="131">
        <v>60</v>
      </c>
      <c r="L66" s="131">
        <v>56</v>
      </c>
      <c r="M66" s="131">
        <v>337</v>
      </c>
      <c r="N66" s="131">
        <v>265</v>
      </c>
      <c r="O66" s="132">
        <v>602</v>
      </c>
    </row>
    <row r="67" spans="1:15" x14ac:dyDescent="0.3">
      <c r="A67" s="7" t="s">
        <v>83</v>
      </c>
      <c r="B67" s="7"/>
      <c r="C67" s="133">
        <f>SUM(C4:C66)</f>
        <v>12305</v>
      </c>
      <c r="D67" s="133">
        <f t="shared" ref="D67:O67" si="0">SUM(D4:D66)</f>
        <v>8103</v>
      </c>
      <c r="E67" s="133">
        <f t="shared" si="0"/>
        <v>35430</v>
      </c>
      <c r="F67" s="133">
        <f t="shared" si="0"/>
        <v>26108</v>
      </c>
      <c r="G67" s="133">
        <f t="shared" si="0"/>
        <v>862</v>
      </c>
      <c r="H67" s="133">
        <f t="shared" si="0"/>
        <v>555</v>
      </c>
      <c r="I67" s="133">
        <f t="shared" si="0"/>
        <v>258237</v>
      </c>
      <c r="J67" s="133">
        <f t="shared" si="0"/>
        <v>187881</v>
      </c>
      <c r="K67" s="133">
        <f t="shared" si="0"/>
        <v>13394</v>
      </c>
      <c r="L67" s="133">
        <f t="shared" si="0"/>
        <v>10100</v>
      </c>
      <c r="M67" s="133">
        <f t="shared" si="0"/>
        <v>320228</v>
      </c>
      <c r="N67" s="133">
        <f t="shared" si="0"/>
        <v>232747</v>
      </c>
      <c r="O67" s="133">
        <f t="shared" si="0"/>
        <v>552975</v>
      </c>
    </row>
  </sheetData>
  <mergeCells count="8">
    <mergeCell ref="N2:N3"/>
    <mergeCell ref="O2:O3"/>
    <mergeCell ref="C2:D2"/>
    <mergeCell ref="E2:F2"/>
    <mergeCell ref="G2:H2"/>
    <mergeCell ref="I2:J2"/>
    <mergeCell ref="K2:L2"/>
    <mergeCell ref="M2:M3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57B50-2759-4400-A239-8A028572E72D}">
  <dimension ref="A1:H9"/>
  <sheetViews>
    <sheetView workbookViewId="0"/>
  </sheetViews>
  <sheetFormatPr defaultRowHeight="14.4" x14ac:dyDescent="0.3"/>
  <cols>
    <col min="1" max="1" width="37.375" style="194" customWidth="1"/>
    <col min="2" max="7" width="9" style="194"/>
    <col min="8" max="8" width="15.5" style="194" customWidth="1"/>
    <col min="9" max="16384" width="9" style="194"/>
  </cols>
  <sheetData>
    <row r="1" spans="1:8" x14ac:dyDescent="0.3">
      <c r="A1" s="207" t="s">
        <v>218</v>
      </c>
    </row>
    <row r="2" spans="1:8" ht="15" customHeight="1" x14ac:dyDescent="0.3">
      <c r="B2" s="196" t="s">
        <v>219</v>
      </c>
      <c r="C2" s="197"/>
      <c r="D2" s="198"/>
      <c r="E2" s="196" t="s">
        <v>220</v>
      </c>
      <c r="F2" s="199"/>
      <c r="G2" s="200"/>
    </row>
    <row r="3" spans="1:8" x14ac:dyDescent="0.3">
      <c r="A3" s="201" t="s">
        <v>39</v>
      </c>
      <c r="B3" s="202" t="s">
        <v>45</v>
      </c>
      <c r="C3" s="202" t="s">
        <v>46</v>
      </c>
      <c r="D3" s="202" t="s">
        <v>0</v>
      </c>
      <c r="E3" s="202" t="s">
        <v>45</v>
      </c>
      <c r="F3" s="202" t="s">
        <v>46</v>
      </c>
      <c r="G3" s="202" t="s">
        <v>0</v>
      </c>
      <c r="H3" s="201" t="s">
        <v>83</v>
      </c>
    </row>
    <row r="4" spans="1:8" x14ac:dyDescent="0.3">
      <c r="A4" s="203" t="s">
        <v>55</v>
      </c>
      <c r="B4" s="204">
        <v>155412</v>
      </c>
      <c r="C4" s="204">
        <v>103901</v>
      </c>
      <c r="D4" s="204">
        <v>259313</v>
      </c>
      <c r="E4" s="204">
        <v>111234</v>
      </c>
      <c r="F4" s="204">
        <v>82527</v>
      </c>
      <c r="G4" s="204">
        <v>193761</v>
      </c>
      <c r="H4" s="205">
        <v>453074</v>
      </c>
    </row>
    <row r="5" spans="1:8" x14ac:dyDescent="0.3">
      <c r="A5" s="203" t="s">
        <v>56</v>
      </c>
      <c r="B5" s="204">
        <v>1754</v>
      </c>
      <c r="C5" s="204">
        <v>1335</v>
      </c>
      <c r="D5" s="204">
        <v>3089</v>
      </c>
      <c r="E5" s="204">
        <v>443</v>
      </c>
      <c r="F5" s="204">
        <v>318</v>
      </c>
      <c r="G5" s="204">
        <v>761</v>
      </c>
      <c r="H5" s="205">
        <v>3850</v>
      </c>
    </row>
    <row r="6" spans="1:8" x14ac:dyDescent="0.3">
      <c r="A6" s="203" t="s">
        <v>223</v>
      </c>
      <c r="B6" s="204">
        <v>10001</v>
      </c>
      <c r="C6" s="204">
        <v>6975</v>
      </c>
      <c r="D6" s="204">
        <v>16976</v>
      </c>
      <c r="E6" s="204">
        <v>37980</v>
      </c>
      <c r="F6" s="204">
        <v>35773</v>
      </c>
      <c r="G6" s="204">
        <v>73753</v>
      </c>
      <c r="H6" s="205">
        <v>90729</v>
      </c>
    </row>
    <row r="7" spans="1:8" x14ac:dyDescent="0.3">
      <c r="A7" s="203" t="s">
        <v>58</v>
      </c>
      <c r="B7" s="204">
        <v>264</v>
      </c>
      <c r="C7" s="204">
        <v>243</v>
      </c>
      <c r="D7" s="204">
        <v>507</v>
      </c>
      <c r="E7" s="204">
        <v>1438</v>
      </c>
      <c r="F7" s="204">
        <v>716</v>
      </c>
      <c r="G7" s="204">
        <v>2154</v>
      </c>
      <c r="H7" s="205">
        <v>2661</v>
      </c>
    </row>
    <row r="8" spans="1:8" x14ac:dyDescent="0.3">
      <c r="A8" s="203" t="s">
        <v>221</v>
      </c>
      <c r="B8" s="204">
        <v>3300</v>
      </c>
      <c r="C8" s="204">
        <v>1681</v>
      </c>
      <c r="D8" s="204">
        <v>4981</v>
      </c>
      <c r="E8" s="204">
        <v>3533</v>
      </c>
      <c r="F8" s="204">
        <v>6217</v>
      </c>
      <c r="G8" s="204">
        <v>9750</v>
      </c>
      <c r="H8" s="205">
        <v>14731</v>
      </c>
    </row>
    <row r="9" spans="1:8" x14ac:dyDescent="0.3">
      <c r="A9" s="203" t="s">
        <v>222</v>
      </c>
      <c r="B9" s="206">
        <v>170731</v>
      </c>
      <c r="C9" s="206">
        <v>114135</v>
      </c>
      <c r="D9" s="206">
        <v>284866</v>
      </c>
      <c r="E9" s="206">
        <v>154628</v>
      </c>
      <c r="F9" s="206">
        <v>125551</v>
      </c>
      <c r="G9" s="206">
        <v>280179</v>
      </c>
      <c r="H9" s="205">
        <v>565045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D8443-17E1-410B-BA97-AA56B4D659E1}">
  <dimension ref="A1:I14"/>
  <sheetViews>
    <sheetView workbookViewId="0"/>
  </sheetViews>
  <sheetFormatPr defaultRowHeight="14.4" x14ac:dyDescent="0.3"/>
  <cols>
    <col min="1" max="1" width="47.25" style="3" customWidth="1"/>
    <col min="2" max="6" width="19.375" style="12" customWidth="1"/>
    <col min="7" max="7" width="17.875" style="3" customWidth="1"/>
    <col min="8" max="8" width="11.375" style="3" bestFit="1" customWidth="1"/>
    <col min="9" max="16384" width="9" style="3"/>
  </cols>
  <sheetData>
    <row r="1" spans="1:9" ht="15.6" customHeight="1" x14ac:dyDescent="0.3">
      <c r="A1" s="51" t="s">
        <v>131</v>
      </c>
      <c r="B1" s="80"/>
      <c r="C1" s="80"/>
      <c r="D1" s="80"/>
      <c r="E1" s="80"/>
      <c r="F1" s="80"/>
      <c r="G1" s="51"/>
      <c r="H1" s="51"/>
      <c r="I1" s="51"/>
    </row>
    <row r="2" spans="1:9" s="43" customFormat="1" ht="39" customHeight="1" x14ac:dyDescent="0.3">
      <c r="A2" s="85" t="s">
        <v>122</v>
      </c>
      <c r="B2" s="90" t="s">
        <v>47</v>
      </c>
      <c r="C2" s="90" t="s">
        <v>123</v>
      </c>
      <c r="D2" s="90" t="s">
        <v>48</v>
      </c>
      <c r="E2" s="90" t="s">
        <v>124</v>
      </c>
      <c r="F2" s="90" t="s">
        <v>125</v>
      </c>
      <c r="G2" s="86" t="s">
        <v>63</v>
      </c>
      <c r="H2" s="86" t="s">
        <v>126</v>
      </c>
    </row>
    <row r="3" spans="1:9" x14ac:dyDescent="0.3">
      <c r="A3" s="82" t="s">
        <v>114</v>
      </c>
      <c r="B3" s="91">
        <v>28346</v>
      </c>
      <c r="C3" s="91">
        <v>72</v>
      </c>
      <c r="D3" s="91">
        <v>545</v>
      </c>
      <c r="E3" s="91">
        <v>0</v>
      </c>
      <c r="F3" s="91">
        <v>43</v>
      </c>
      <c r="G3" s="87">
        <v>29006</v>
      </c>
      <c r="H3" s="94">
        <v>0.05</v>
      </c>
      <c r="I3" s="81"/>
    </row>
    <row r="4" spans="1:9" x14ac:dyDescent="0.3">
      <c r="A4" s="83" t="s">
        <v>105</v>
      </c>
      <c r="B4" s="92">
        <v>32638</v>
      </c>
      <c r="C4" s="92">
        <v>34</v>
      </c>
      <c r="D4" s="92">
        <v>3985</v>
      </c>
      <c r="E4" s="92">
        <v>701</v>
      </c>
      <c r="F4" s="92">
        <v>923</v>
      </c>
      <c r="G4" s="88">
        <v>38281</v>
      </c>
      <c r="H4" s="95">
        <v>7.0000000000000007E-2</v>
      </c>
      <c r="I4" s="81"/>
    </row>
    <row r="5" spans="1:9" x14ac:dyDescent="0.3">
      <c r="A5" s="83" t="s">
        <v>127</v>
      </c>
      <c r="B5" s="92">
        <v>97763</v>
      </c>
      <c r="C5" s="92">
        <v>923</v>
      </c>
      <c r="D5" s="92">
        <v>28001</v>
      </c>
      <c r="E5" s="92">
        <v>269</v>
      </c>
      <c r="F5" s="92">
        <v>7246</v>
      </c>
      <c r="G5" s="88">
        <v>134202</v>
      </c>
      <c r="H5" s="95">
        <v>0.24</v>
      </c>
      <c r="I5" s="81"/>
    </row>
    <row r="6" spans="1:9" x14ac:dyDescent="0.3">
      <c r="A6" s="83" t="s">
        <v>128</v>
      </c>
      <c r="B6" s="92">
        <v>3756</v>
      </c>
      <c r="C6" s="92">
        <v>0</v>
      </c>
      <c r="D6" s="92">
        <v>3165</v>
      </c>
      <c r="E6" s="92">
        <v>0</v>
      </c>
      <c r="F6" s="92">
        <v>308</v>
      </c>
      <c r="G6" s="88">
        <v>7229</v>
      </c>
      <c r="H6" s="95">
        <v>0.01</v>
      </c>
      <c r="I6" s="81"/>
    </row>
    <row r="7" spans="1:9" x14ac:dyDescent="0.3">
      <c r="A7" s="83" t="s">
        <v>103</v>
      </c>
      <c r="B7" s="92">
        <v>99734</v>
      </c>
      <c r="C7" s="92">
        <v>2039</v>
      </c>
      <c r="D7" s="92">
        <v>19108</v>
      </c>
      <c r="E7" s="92">
        <v>483</v>
      </c>
      <c r="F7" s="92">
        <v>1194</v>
      </c>
      <c r="G7" s="88">
        <v>122558</v>
      </c>
      <c r="H7" s="95">
        <v>0.22</v>
      </c>
      <c r="I7" s="81"/>
    </row>
    <row r="8" spans="1:9" x14ac:dyDescent="0.3">
      <c r="A8" s="83" t="s">
        <v>112</v>
      </c>
      <c r="B8" s="92">
        <v>29647</v>
      </c>
      <c r="C8" s="92">
        <v>17</v>
      </c>
      <c r="D8" s="92">
        <v>686</v>
      </c>
      <c r="E8" s="92">
        <v>0</v>
      </c>
      <c r="F8" s="92">
        <v>0</v>
      </c>
      <c r="G8" s="88">
        <v>30350</v>
      </c>
      <c r="H8" s="95">
        <v>0.05</v>
      </c>
      <c r="I8" s="81"/>
    </row>
    <row r="9" spans="1:9" x14ac:dyDescent="0.3">
      <c r="A9" s="83" t="s">
        <v>109</v>
      </c>
      <c r="B9" s="92">
        <v>29817</v>
      </c>
      <c r="C9" s="92">
        <v>56</v>
      </c>
      <c r="D9" s="92">
        <v>8145</v>
      </c>
      <c r="E9" s="92">
        <v>602</v>
      </c>
      <c r="F9" s="92">
        <v>531</v>
      </c>
      <c r="G9" s="88">
        <v>39151</v>
      </c>
      <c r="H9" s="95">
        <v>7.0000000000000007E-2</v>
      </c>
      <c r="I9" s="81"/>
    </row>
    <row r="10" spans="1:9" x14ac:dyDescent="0.3">
      <c r="A10" s="83" t="s">
        <v>129</v>
      </c>
      <c r="B10" s="92">
        <v>25016</v>
      </c>
      <c r="C10" s="92">
        <v>118</v>
      </c>
      <c r="D10" s="92">
        <v>8825</v>
      </c>
      <c r="E10" s="92">
        <v>19</v>
      </c>
      <c r="F10" s="92">
        <v>2474</v>
      </c>
      <c r="G10" s="88">
        <v>36452</v>
      </c>
      <c r="H10" s="95">
        <v>0.06</v>
      </c>
      <c r="I10" s="81"/>
    </row>
    <row r="11" spans="1:9" x14ac:dyDescent="0.3">
      <c r="A11" s="83" t="s">
        <v>116</v>
      </c>
      <c r="B11" s="92">
        <v>47566</v>
      </c>
      <c r="C11" s="92">
        <v>219</v>
      </c>
      <c r="D11" s="92">
        <v>1753</v>
      </c>
      <c r="E11" s="92">
        <v>0</v>
      </c>
      <c r="F11" s="92">
        <v>133</v>
      </c>
      <c r="G11" s="88">
        <v>49671</v>
      </c>
      <c r="H11" s="95">
        <v>0.09</v>
      </c>
      <c r="I11" s="81"/>
    </row>
    <row r="12" spans="1:9" x14ac:dyDescent="0.3">
      <c r="A12" s="83" t="s">
        <v>110</v>
      </c>
      <c r="B12" s="92">
        <v>9902</v>
      </c>
      <c r="C12" s="92">
        <v>24</v>
      </c>
      <c r="D12" s="92">
        <v>950</v>
      </c>
      <c r="E12" s="92">
        <v>0</v>
      </c>
      <c r="F12" s="92">
        <v>863</v>
      </c>
      <c r="G12" s="88">
        <v>11739</v>
      </c>
      <c r="H12" s="95">
        <v>0.02</v>
      </c>
      <c r="I12" s="81"/>
    </row>
    <row r="13" spans="1:9" x14ac:dyDescent="0.3">
      <c r="A13" s="83" t="s">
        <v>119</v>
      </c>
      <c r="B13" s="92">
        <v>48889</v>
      </c>
      <c r="C13" s="92">
        <v>348</v>
      </c>
      <c r="D13" s="92">
        <v>15566</v>
      </c>
      <c r="E13" s="92">
        <v>587</v>
      </c>
      <c r="F13" s="92">
        <v>1016</v>
      </c>
      <c r="G13" s="88">
        <v>66406</v>
      </c>
      <c r="H13" s="95">
        <v>0.12</v>
      </c>
      <c r="I13" s="81"/>
    </row>
    <row r="14" spans="1:9" x14ac:dyDescent="0.3">
      <c r="A14" s="84" t="s">
        <v>130</v>
      </c>
      <c r="B14" s="93">
        <v>453074</v>
      </c>
      <c r="C14" s="93">
        <v>3850</v>
      </c>
      <c r="D14" s="93">
        <v>90729</v>
      </c>
      <c r="E14" s="93">
        <v>2661</v>
      </c>
      <c r="F14" s="93">
        <v>14731</v>
      </c>
      <c r="G14" s="89">
        <v>565045</v>
      </c>
      <c r="H14" s="96">
        <v>1</v>
      </c>
      <c r="I14" s="81"/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05A55-94B9-44E8-8D25-411069BB97B5}">
  <dimension ref="A1:L20"/>
  <sheetViews>
    <sheetView zoomScaleNormal="100" workbookViewId="0"/>
  </sheetViews>
  <sheetFormatPr defaultRowHeight="14.4" x14ac:dyDescent="0.3"/>
  <cols>
    <col min="1" max="1" width="13.375" style="14" customWidth="1"/>
    <col min="2" max="2" width="42.625" style="14" customWidth="1"/>
    <col min="3" max="3" width="11.25" style="15" bestFit="1" customWidth="1"/>
    <col min="4" max="4" width="8.5" style="15" bestFit="1" customWidth="1"/>
    <col min="5" max="5" width="10.125" style="15" bestFit="1" customWidth="1"/>
    <col min="6" max="6" width="6.75" style="15" bestFit="1" customWidth="1"/>
    <col min="7" max="7" width="9.625" style="15" bestFit="1" customWidth="1"/>
    <col min="8" max="8" width="11.25" style="15" bestFit="1" customWidth="1"/>
    <col min="9" max="9" width="6.75" style="15" bestFit="1" customWidth="1"/>
    <col min="10" max="10" width="10.125" style="15" bestFit="1" customWidth="1"/>
    <col min="11" max="11" width="6.75" style="15" bestFit="1" customWidth="1"/>
    <col min="12" max="12" width="9.625" style="15" bestFit="1" customWidth="1"/>
    <col min="13" max="16384" width="9" style="14"/>
  </cols>
  <sheetData>
    <row r="1" spans="1:12" x14ac:dyDescent="0.3">
      <c r="A1" s="17" t="s">
        <v>165</v>
      </c>
    </row>
    <row r="2" spans="1:12" x14ac:dyDescent="0.3">
      <c r="B2" s="30" t="s">
        <v>91</v>
      </c>
      <c r="C2" s="154">
        <v>2016</v>
      </c>
      <c r="D2" s="155"/>
      <c r="E2" s="155"/>
      <c r="F2" s="155"/>
      <c r="G2" s="156"/>
      <c r="H2" s="154">
        <v>2017</v>
      </c>
      <c r="I2" s="155"/>
      <c r="J2" s="155"/>
      <c r="K2" s="155"/>
      <c r="L2" s="156"/>
    </row>
    <row r="3" spans="1:12" x14ac:dyDescent="0.3">
      <c r="B3" s="31" t="s">
        <v>90</v>
      </c>
      <c r="C3" s="20" t="s">
        <v>2</v>
      </c>
      <c r="D3" s="18" t="s">
        <v>86</v>
      </c>
      <c r="E3" s="18" t="s">
        <v>3</v>
      </c>
      <c r="F3" s="18" t="s">
        <v>87</v>
      </c>
      <c r="G3" s="21" t="s">
        <v>1</v>
      </c>
      <c r="H3" s="20" t="s">
        <v>2</v>
      </c>
      <c r="I3" s="18" t="s">
        <v>86</v>
      </c>
      <c r="J3" s="18" t="s">
        <v>3</v>
      </c>
      <c r="K3" s="18" t="s">
        <v>87</v>
      </c>
      <c r="L3" s="21" t="s">
        <v>1</v>
      </c>
    </row>
    <row r="4" spans="1:12" x14ac:dyDescent="0.3">
      <c r="A4" s="157" t="s">
        <v>88</v>
      </c>
      <c r="B4" s="35" t="s">
        <v>55</v>
      </c>
      <c r="C4" s="36">
        <v>31810</v>
      </c>
      <c r="D4" s="37">
        <v>1039</v>
      </c>
      <c r="E4" s="37">
        <v>3602</v>
      </c>
      <c r="F4" s="37">
        <v>355</v>
      </c>
      <c r="G4" s="38">
        <v>36806</v>
      </c>
      <c r="H4" s="36">
        <v>31382</v>
      </c>
      <c r="I4" s="37">
        <v>39</v>
      </c>
      <c r="J4" s="37">
        <v>3044</v>
      </c>
      <c r="K4" s="37">
        <v>333</v>
      </c>
      <c r="L4" s="38">
        <v>34798</v>
      </c>
    </row>
    <row r="5" spans="1:12" x14ac:dyDescent="0.3">
      <c r="A5" s="158"/>
      <c r="B5" s="33" t="s">
        <v>57</v>
      </c>
      <c r="C5" s="22">
        <v>9835</v>
      </c>
      <c r="D5" s="16">
        <v>196</v>
      </c>
      <c r="E5" s="16">
        <v>1160</v>
      </c>
      <c r="F5" s="16">
        <v>51</v>
      </c>
      <c r="G5" s="23">
        <v>11242</v>
      </c>
      <c r="H5" s="22">
        <v>8841</v>
      </c>
      <c r="I5" s="16">
        <v>75</v>
      </c>
      <c r="J5" s="16">
        <v>1275</v>
      </c>
      <c r="K5" s="16">
        <v>121</v>
      </c>
      <c r="L5" s="23">
        <v>10312</v>
      </c>
    </row>
    <row r="6" spans="1:12" x14ac:dyDescent="0.3">
      <c r="A6" s="158"/>
      <c r="B6" s="33" t="s">
        <v>58</v>
      </c>
      <c r="C6" s="22">
        <v>260</v>
      </c>
      <c r="D6" s="16">
        <v>0</v>
      </c>
      <c r="E6" s="16">
        <v>60</v>
      </c>
      <c r="F6" s="16">
        <v>0</v>
      </c>
      <c r="G6" s="23">
        <v>320</v>
      </c>
      <c r="H6" s="22">
        <v>226</v>
      </c>
      <c r="I6" s="16">
        <v>0</v>
      </c>
      <c r="J6" s="16">
        <v>101</v>
      </c>
      <c r="K6" s="16">
        <v>0</v>
      </c>
      <c r="L6" s="23">
        <v>327</v>
      </c>
    </row>
    <row r="7" spans="1:12" x14ac:dyDescent="0.3">
      <c r="A7" s="158"/>
      <c r="B7" s="33" t="s">
        <v>85</v>
      </c>
      <c r="C7" s="22">
        <v>226</v>
      </c>
      <c r="D7" s="16">
        <v>36</v>
      </c>
      <c r="E7" s="16">
        <v>22</v>
      </c>
      <c r="F7" s="16">
        <v>0</v>
      </c>
      <c r="G7" s="23">
        <v>284</v>
      </c>
      <c r="H7" s="22">
        <v>468</v>
      </c>
      <c r="I7" s="16">
        <v>0</v>
      </c>
      <c r="J7" s="16">
        <v>686</v>
      </c>
      <c r="K7" s="16">
        <v>0</v>
      </c>
      <c r="L7" s="23">
        <v>1154</v>
      </c>
    </row>
    <row r="8" spans="1:12" x14ac:dyDescent="0.3">
      <c r="A8" s="159"/>
      <c r="B8" s="34" t="s">
        <v>1</v>
      </c>
      <c r="C8" s="25">
        <v>42131</v>
      </c>
      <c r="D8" s="26">
        <v>1271</v>
      </c>
      <c r="E8" s="26">
        <v>4844</v>
      </c>
      <c r="F8" s="26">
        <v>406</v>
      </c>
      <c r="G8" s="27">
        <v>48652</v>
      </c>
      <c r="H8" s="28">
        <v>40917</v>
      </c>
      <c r="I8" s="29">
        <v>114</v>
      </c>
      <c r="J8" s="29">
        <v>5106</v>
      </c>
      <c r="K8" s="29">
        <v>454</v>
      </c>
      <c r="L8" s="27">
        <v>46591</v>
      </c>
    </row>
    <row r="9" spans="1:12" x14ac:dyDescent="0.3">
      <c r="A9" s="157" t="s">
        <v>89</v>
      </c>
      <c r="B9" s="39" t="s">
        <v>90</v>
      </c>
      <c r="C9" s="40" t="s">
        <v>2</v>
      </c>
      <c r="D9" s="41" t="s">
        <v>86</v>
      </c>
      <c r="E9" s="41" t="s">
        <v>3</v>
      </c>
      <c r="F9" s="41" t="s">
        <v>87</v>
      </c>
      <c r="G9" s="42" t="s">
        <v>1</v>
      </c>
      <c r="H9" s="40" t="s">
        <v>2</v>
      </c>
      <c r="I9" s="41" t="s">
        <v>86</v>
      </c>
      <c r="J9" s="41" t="s">
        <v>3</v>
      </c>
      <c r="K9" s="41" t="s">
        <v>87</v>
      </c>
      <c r="L9" s="42" t="s">
        <v>1</v>
      </c>
    </row>
    <row r="10" spans="1:12" x14ac:dyDescent="0.3">
      <c r="A10" s="158"/>
      <c r="B10" s="32" t="s">
        <v>55</v>
      </c>
      <c r="C10" s="22">
        <v>24483</v>
      </c>
      <c r="D10" s="16">
        <v>486</v>
      </c>
      <c r="E10" s="16">
        <v>2549</v>
      </c>
      <c r="F10" s="16">
        <v>227</v>
      </c>
      <c r="G10" s="23">
        <v>27745</v>
      </c>
      <c r="H10" s="22">
        <v>23006</v>
      </c>
      <c r="I10" s="16">
        <v>27</v>
      </c>
      <c r="J10" s="16">
        <v>2261</v>
      </c>
      <c r="K10" s="16">
        <v>189</v>
      </c>
      <c r="L10" s="23">
        <v>25483</v>
      </c>
    </row>
    <row r="11" spans="1:12" x14ac:dyDescent="0.3">
      <c r="A11" s="158"/>
      <c r="B11" s="33" t="s">
        <v>57</v>
      </c>
      <c r="C11" s="22">
        <v>10606</v>
      </c>
      <c r="D11" s="16">
        <v>144</v>
      </c>
      <c r="E11" s="16">
        <v>988</v>
      </c>
      <c r="F11" s="16">
        <v>69</v>
      </c>
      <c r="G11" s="23">
        <v>11807</v>
      </c>
      <c r="H11" s="22">
        <v>9068</v>
      </c>
      <c r="I11" s="16">
        <v>77</v>
      </c>
      <c r="J11" s="16">
        <v>1235</v>
      </c>
      <c r="K11" s="16">
        <v>60</v>
      </c>
      <c r="L11" s="23">
        <v>10440</v>
      </c>
    </row>
    <row r="12" spans="1:12" x14ac:dyDescent="0.3">
      <c r="A12" s="158"/>
      <c r="B12" s="33" t="s">
        <v>58</v>
      </c>
      <c r="C12" s="22">
        <v>162</v>
      </c>
      <c r="D12" s="16">
        <v>0</v>
      </c>
      <c r="E12" s="16">
        <v>35</v>
      </c>
      <c r="F12" s="16">
        <v>0</v>
      </c>
      <c r="G12" s="23">
        <v>197</v>
      </c>
      <c r="H12" s="22">
        <v>39</v>
      </c>
      <c r="I12" s="16">
        <v>0</v>
      </c>
      <c r="J12" s="16">
        <v>25</v>
      </c>
      <c r="K12" s="16">
        <v>0</v>
      </c>
      <c r="L12" s="23">
        <v>64</v>
      </c>
    </row>
    <row r="13" spans="1:12" x14ac:dyDescent="0.3">
      <c r="A13" s="158"/>
      <c r="B13" s="33" t="s">
        <v>85</v>
      </c>
      <c r="C13" s="22">
        <v>333</v>
      </c>
      <c r="D13" s="16">
        <v>116</v>
      </c>
      <c r="E13" s="16">
        <v>22</v>
      </c>
      <c r="F13" s="16">
        <v>0</v>
      </c>
      <c r="G13" s="23">
        <v>471</v>
      </c>
      <c r="H13" s="22">
        <v>42</v>
      </c>
      <c r="I13" s="16">
        <v>0</v>
      </c>
      <c r="J13" s="16">
        <v>31</v>
      </c>
      <c r="K13" s="16">
        <v>0</v>
      </c>
      <c r="L13" s="23">
        <v>73</v>
      </c>
    </row>
    <row r="14" spans="1:12" x14ac:dyDescent="0.3">
      <c r="A14" s="159"/>
      <c r="B14" s="34" t="s">
        <v>1</v>
      </c>
      <c r="C14" s="25">
        <v>35584</v>
      </c>
      <c r="D14" s="26">
        <v>746</v>
      </c>
      <c r="E14" s="26">
        <v>3594</v>
      </c>
      <c r="F14" s="26">
        <v>296</v>
      </c>
      <c r="G14" s="27">
        <v>40220</v>
      </c>
      <c r="H14" s="28">
        <v>32155</v>
      </c>
      <c r="I14" s="29">
        <v>104</v>
      </c>
      <c r="J14" s="29">
        <v>3552</v>
      </c>
      <c r="K14" s="29">
        <v>249</v>
      </c>
      <c r="L14" s="27">
        <v>36060</v>
      </c>
    </row>
    <row r="15" spans="1:12" ht="15" customHeight="1" x14ac:dyDescent="0.3">
      <c r="A15" s="157" t="s">
        <v>1</v>
      </c>
      <c r="B15" s="39" t="s">
        <v>90</v>
      </c>
      <c r="C15" s="40" t="s">
        <v>2</v>
      </c>
      <c r="D15" s="41" t="s">
        <v>86</v>
      </c>
      <c r="E15" s="41" t="s">
        <v>3</v>
      </c>
      <c r="F15" s="41" t="s">
        <v>87</v>
      </c>
      <c r="G15" s="42" t="s">
        <v>1</v>
      </c>
      <c r="H15" s="40" t="s">
        <v>2</v>
      </c>
      <c r="I15" s="41" t="s">
        <v>86</v>
      </c>
      <c r="J15" s="41" t="s">
        <v>3</v>
      </c>
      <c r="K15" s="41" t="s">
        <v>87</v>
      </c>
      <c r="L15" s="42" t="s">
        <v>1</v>
      </c>
    </row>
    <row r="16" spans="1:12" x14ac:dyDescent="0.3">
      <c r="A16" s="158"/>
      <c r="B16" s="32" t="s">
        <v>55</v>
      </c>
      <c r="C16" s="22">
        <v>56293</v>
      </c>
      <c r="D16" s="16">
        <v>1525</v>
      </c>
      <c r="E16" s="16">
        <v>6151</v>
      </c>
      <c r="F16" s="16">
        <v>582</v>
      </c>
      <c r="G16" s="23">
        <v>64551</v>
      </c>
      <c r="H16" s="22">
        <v>54388</v>
      </c>
      <c r="I16" s="16">
        <v>66</v>
      </c>
      <c r="J16" s="16">
        <v>5305</v>
      </c>
      <c r="K16" s="16">
        <v>522</v>
      </c>
      <c r="L16" s="23">
        <v>60281</v>
      </c>
    </row>
    <row r="17" spans="1:12" x14ac:dyDescent="0.3">
      <c r="A17" s="158"/>
      <c r="B17" s="33" t="s">
        <v>57</v>
      </c>
      <c r="C17" s="22">
        <v>20441</v>
      </c>
      <c r="D17" s="16">
        <v>340</v>
      </c>
      <c r="E17" s="16">
        <v>2148</v>
      </c>
      <c r="F17" s="16">
        <v>120</v>
      </c>
      <c r="G17" s="23">
        <v>23049</v>
      </c>
      <c r="H17" s="22">
        <v>17909</v>
      </c>
      <c r="I17" s="16">
        <v>152</v>
      </c>
      <c r="J17" s="16">
        <v>2510</v>
      </c>
      <c r="K17" s="16">
        <v>181</v>
      </c>
      <c r="L17" s="23">
        <v>20752</v>
      </c>
    </row>
    <row r="18" spans="1:12" x14ac:dyDescent="0.3">
      <c r="A18" s="158"/>
      <c r="B18" s="33" t="s">
        <v>58</v>
      </c>
      <c r="C18" s="22">
        <v>422</v>
      </c>
      <c r="D18" s="16">
        <v>0</v>
      </c>
      <c r="E18" s="16">
        <v>95</v>
      </c>
      <c r="F18" s="16">
        <v>0</v>
      </c>
      <c r="G18" s="23">
        <v>517</v>
      </c>
      <c r="H18" s="22">
        <v>265</v>
      </c>
      <c r="I18" s="16">
        <v>0</v>
      </c>
      <c r="J18" s="16">
        <v>126</v>
      </c>
      <c r="K18" s="16">
        <v>0</v>
      </c>
      <c r="L18" s="23">
        <v>391</v>
      </c>
    </row>
    <row r="19" spans="1:12" x14ac:dyDescent="0.3">
      <c r="A19" s="158"/>
      <c r="B19" s="33" t="s">
        <v>85</v>
      </c>
      <c r="C19" s="22">
        <v>559</v>
      </c>
      <c r="D19" s="16">
        <v>152</v>
      </c>
      <c r="E19" s="16">
        <v>44</v>
      </c>
      <c r="F19" s="16">
        <v>0</v>
      </c>
      <c r="G19" s="23">
        <v>755</v>
      </c>
      <c r="H19" s="22">
        <v>510</v>
      </c>
      <c r="I19" s="16">
        <v>0</v>
      </c>
      <c r="J19" s="16">
        <v>717</v>
      </c>
      <c r="K19" s="16">
        <v>0</v>
      </c>
      <c r="L19" s="23">
        <v>1227</v>
      </c>
    </row>
    <row r="20" spans="1:12" x14ac:dyDescent="0.3">
      <c r="A20" s="159"/>
      <c r="B20" s="34" t="s">
        <v>1</v>
      </c>
      <c r="C20" s="25">
        <v>77715</v>
      </c>
      <c r="D20" s="26">
        <v>2017</v>
      </c>
      <c r="E20" s="26">
        <v>8438</v>
      </c>
      <c r="F20" s="26">
        <v>702</v>
      </c>
      <c r="G20" s="27">
        <v>88872</v>
      </c>
      <c r="H20" s="28">
        <v>73072</v>
      </c>
      <c r="I20" s="29">
        <v>218</v>
      </c>
      <c r="J20" s="29">
        <v>8658</v>
      </c>
      <c r="K20" s="29">
        <v>703</v>
      </c>
      <c r="L20" s="27">
        <v>82651</v>
      </c>
    </row>
  </sheetData>
  <mergeCells count="5">
    <mergeCell ref="H2:L2"/>
    <mergeCell ref="A9:A14"/>
    <mergeCell ref="A4:A8"/>
    <mergeCell ref="A15:A20"/>
    <mergeCell ref="C2:G2"/>
  </mergeCells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81CB1-442C-4FE1-B377-BE9D18AFF2E9}">
  <dimension ref="A1:S35"/>
  <sheetViews>
    <sheetView zoomScale="85" zoomScaleNormal="85" workbookViewId="0">
      <selection activeCell="J28" sqref="J28:K31"/>
    </sheetView>
  </sheetViews>
  <sheetFormatPr defaultRowHeight="14.4" x14ac:dyDescent="0.3"/>
  <cols>
    <col min="1" max="1" width="47.5" style="13" customWidth="1"/>
    <col min="2" max="19" width="19.5" style="13" customWidth="1"/>
    <col min="20" max="16384" width="9" style="13"/>
  </cols>
  <sheetData>
    <row r="1" spans="1:19" x14ac:dyDescent="0.3">
      <c r="A1" s="44" t="s">
        <v>168</v>
      </c>
    </row>
    <row r="2" spans="1:19" ht="15.6" customHeight="1" x14ac:dyDescent="0.3">
      <c r="A2" s="50" t="s">
        <v>98</v>
      </c>
      <c r="B2" s="160" t="s">
        <v>88</v>
      </c>
      <c r="C2" s="161"/>
      <c r="D2" s="161"/>
      <c r="E2" s="161"/>
      <c r="F2" s="161"/>
      <c r="G2" s="162"/>
      <c r="H2" s="160" t="s">
        <v>89</v>
      </c>
      <c r="I2" s="161"/>
      <c r="J2" s="161"/>
      <c r="K2" s="161"/>
      <c r="L2" s="161"/>
      <c r="M2" s="162"/>
      <c r="N2" s="160" t="s">
        <v>1</v>
      </c>
      <c r="O2" s="161"/>
      <c r="P2" s="161"/>
      <c r="Q2" s="161"/>
      <c r="R2" s="161"/>
      <c r="S2" s="162"/>
    </row>
    <row r="3" spans="1:19" ht="15.6" x14ac:dyDescent="0.3">
      <c r="A3" s="18" t="s">
        <v>90</v>
      </c>
      <c r="B3" s="47" t="s">
        <v>92</v>
      </c>
      <c r="C3" s="46" t="s">
        <v>93</v>
      </c>
      <c r="D3" s="46" t="s">
        <v>94</v>
      </c>
      <c r="E3" s="46" t="s">
        <v>95</v>
      </c>
      <c r="F3" s="46" t="s">
        <v>96</v>
      </c>
      <c r="G3" s="48" t="s">
        <v>1</v>
      </c>
      <c r="H3" s="47" t="s">
        <v>92</v>
      </c>
      <c r="I3" s="46" t="s">
        <v>93</v>
      </c>
      <c r="J3" s="46" t="s">
        <v>94</v>
      </c>
      <c r="K3" s="46" t="s">
        <v>95</v>
      </c>
      <c r="L3" s="46" t="s">
        <v>96</v>
      </c>
      <c r="M3" s="48" t="s">
        <v>1</v>
      </c>
      <c r="N3" s="47" t="s">
        <v>92</v>
      </c>
      <c r="O3" s="46" t="s">
        <v>93</v>
      </c>
      <c r="P3" s="46" t="s">
        <v>94</v>
      </c>
      <c r="Q3" s="46" t="s">
        <v>95</v>
      </c>
      <c r="R3" s="46" t="s">
        <v>96</v>
      </c>
      <c r="S3" s="48" t="s">
        <v>1</v>
      </c>
    </row>
    <row r="4" spans="1:19" ht="15.6" x14ac:dyDescent="0.3">
      <c r="A4" s="18" t="s">
        <v>55</v>
      </c>
      <c r="B4" s="24">
        <v>4202</v>
      </c>
      <c r="C4" s="15">
        <v>1009</v>
      </c>
      <c r="D4" s="15">
        <v>16854</v>
      </c>
      <c r="E4" s="15">
        <v>12118</v>
      </c>
      <c r="F4" s="15">
        <v>615</v>
      </c>
      <c r="G4" s="23">
        <f>SUM(B4:F4)</f>
        <v>34798</v>
      </c>
      <c r="H4" s="49">
        <v>3232</v>
      </c>
      <c r="I4" s="45">
        <v>890</v>
      </c>
      <c r="J4" s="45">
        <v>13625</v>
      </c>
      <c r="K4" s="45">
        <v>7462</v>
      </c>
      <c r="L4" s="45">
        <v>274</v>
      </c>
      <c r="M4" s="23">
        <f t="shared" ref="M4:M8" si="0">SUM(H4:L4)</f>
        <v>25483</v>
      </c>
      <c r="N4" s="24">
        <f>B4+H4</f>
        <v>7434</v>
      </c>
      <c r="O4" s="15">
        <f t="shared" ref="O4:S8" si="1">C4+I4</f>
        <v>1899</v>
      </c>
      <c r="P4" s="15">
        <f t="shared" si="1"/>
        <v>30479</v>
      </c>
      <c r="Q4" s="15">
        <f t="shared" si="1"/>
        <v>19580</v>
      </c>
      <c r="R4" s="15">
        <f t="shared" si="1"/>
        <v>889</v>
      </c>
      <c r="S4" s="23">
        <f t="shared" si="1"/>
        <v>60281</v>
      </c>
    </row>
    <row r="5" spans="1:19" ht="15.6" x14ac:dyDescent="0.3">
      <c r="A5" s="19" t="s">
        <v>57</v>
      </c>
      <c r="B5" s="49">
        <v>2054</v>
      </c>
      <c r="C5" s="45">
        <v>353</v>
      </c>
      <c r="D5" s="45">
        <v>4601</v>
      </c>
      <c r="E5" s="45">
        <v>3100</v>
      </c>
      <c r="F5" s="45">
        <v>204</v>
      </c>
      <c r="G5" s="23">
        <f t="shared" ref="G5:G7" si="2">SUM(B5:F5)</f>
        <v>10312</v>
      </c>
      <c r="H5" s="49">
        <v>2001</v>
      </c>
      <c r="I5" s="45">
        <v>410</v>
      </c>
      <c r="J5" s="45">
        <v>4702</v>
      </c>
      <c r="K5" s="45">
        <v>3139</v>
      </c>
      <c r="L5" s="45">
        <v>188</v>
      </c>
      <c r="M5" s="23">
        <f t="shared" si="0"/>
        <v>10440</v>
      </c>
      <c r="N5" s="24">
        <f t="shared" ref="N5:N8" si="3">B5+H5</f>
        <v>4055</v>
      </c>
      <c r="O5" s="15">
        <f t="shared" si="1"/>
        <v>763</v>
      </c>
      <c r="P5" s="15">
        <f t="shared" si="1"/>
        <v>9303</v>
      </c>
      <c r="Q5" s="15">
        <f t="shared" si="1"/>
        <v>6239</v>
      </c>
      <c r="R5" s="15">
        <f t="shared" si="1"/>
        <v>392</v>
      </c>
      <c r="S5" s="23">
        <f t="shared" si="1"/>
        <v>20752</v>
      </c>
    </row>
    <row r="6" spans="1:19" ht="15.6" x14ac:dyDescent="0.3">
      <c r="A6" s="19" t="s">
        <v>58</v>
      </c>
      <c r="B6" s="49">
        <v>52</v>
      </c>
      <c r="C6" s="45">
        <v>28</v>
      </c>
      <c r="D6" s="45">
        <v>117</v>
      </c>
      <c r="E6" s="45">
        <v>63</v>
      </c>
      <c r="F6" s="45">
        <v>5</v>
      </c>
      <c r="G6" s="23">
        <f t="shared" si="2"/>
        <v>265</v>
      </c>
      <c r="H6" s="49">
        <v>49</v>
      </c>
      <c r="I6" s="45">
        <v>14</v>
      </c>
      <c r="J6" s="45">
        <v>58</v>
      </c>
      <c r="K6" s="45">
        <v>5</v>
      </c>
      <c r="L6" s="45">
        <v>0</v>
      </c>
      <c r="M6" s="23">
        <f t="shared" si="0"/>
        <v>126</v>
      </c>
      <c r="N6" s="24">
        <f t="shared" si="3"/>
        <v>101</v>
      </c>
      <c r="O6" s="15">
        <f t="shared" si="1"/>
        <v>42</v>
      </c>
      <c r="P6" s="15">
        <f t="shared" si="1"/>
        <v>175</v>
      </c>
      <c r="Q6" s="15">
        <f t="shared" si="1"/>
        <v>68</v>
      </c>
      <c r="R6" s="15">
        <f t="shared" si="1"/>
        <v>5</v>
      </c>
      <c r="S6" s="23">
        <f t="shared" si="1"/>
        <v>391</v>
      </c>
    </row>
    <row r="7" spans="1:19" ht="15.6" x14ac:dyDescent="0.3">
      <c r="A7" s="19" t="s">
        <v>85</v>
      </c>
      <c r="B7" s="49">
        <v>42</v>
      </c>
      <c r="C7" s="45">
        <v>40</v>
      </c>
      <c r="D7" s="45">
        <v>331</v>
      </c>
      <c r="E7" s="45">
        <v>94</v>
      </c>
      <c r="F7" s="45">
        <v>3</v>
      </c>
      <c r="G7" s="23">
        <f t="shared" si="2"/>
        <v>510</v>
      </c>
      <c r="H7" s="49">
        <v>31</v>
      </c>
      <c r="I7" s="45">
        <v>69</v>
      </c>
      <c r="J7" s="45">
        <v>449</v>
      </c>
      <c r="K7" s="45">
        <v>161</v>
      </c>
      <c r="L7" s="45">
        <v>7</v>
      </c>
      <c r="M7" s="23">
        <f t="shared" si="0"/>
        <v>717</v>
      </c>
      <c r="N7" s="24">
        <f t="shared" si="3"/>
        <v>73</v>
      </c>
      <c r="O7" s="15">
        <f t="shared" si="1"/>
        <v>109</v>
      </c>
      <c r="P7" s="15">
        <f t="shared" si="1"/>
        <v>780</v>
      </c>
      <c r="Q7" s="15">
        <f t="shared" si="1"/>
        <v>255</v>
      </c>
      <c r="R7" s="15">
        <f t="shared" si="1"/>
        <v>10</v>
      </c>
      <c r="S7" s="23">
        <f t="shared" si="1"/>
        <v>1227</v>
      </c>
    </row>
    <row r="8" spans="1:19" x14ac:dyDescent="0.3">
      <c r="A8" s="19" t="s">
        <v>1</v>
      </c>
      <c r="B8" s="28">
        <f>SUM(B4:B7)</f>
        <v>6350</v>
      </c>
      <c r="C8" s="29">
        <f t="shared" ref="C8:L8" si="4">SUM(C4:C7)</f>
        <v>1430</v>
      </c>
      <c r="D8" s="29">
        <f t="shared" si="4"/>
        <v>21903</v>
      </c>
      <c r="E8" s="29">
        <f t="shared" si="4"/>
        <v>15375</v>
      </c>
      <c r="F8" s="29">
        <f t="shared" si="4"/>
        <v>827</v>
      </c>
      <c r="G8" s="27">
        <f t="shared" si="4"/>
        <v>45885</v>
      </c>
      <c r="H8" s="28">
        <f t="shared" si="4"/>
        <v>5313</v>
      </c>
      <c r="I8" s="29">
        <f t="shared" si="4"/>
        <v>1383</v>
      </c>
      <c r="J8" s="29">
        <f t="shared" si="4"/>
        <v>18834</v>
      </c>
      <c r="K8" s="29">
        <f t="shared" si="4"/>
        <v>10767</v>
      </c>
      <c r="L8" s="29">
        <f t="shared" si="4"/>
        <v>469</v>
      </c>
      <c r="M8" s="27">
        <f t="shared" si="0"/>
        <v>36766</v>
      </c>
      <c r="N8" s="28">
        <f t="shared" si="3"/>
        <v>11663</v>
      </c>
      <c r="O8" s="29">
        <f t="shared" si="1"/>
        <v>2813</v>
      </c>
      <c r="P8" s="29">
        <f t="shared" si="1"/>
        <v>40737</v>
      </c>
      <c r="Q8" s="29">
        <f t="shared" si="1"/>
        <v>26142</v>
      </c>
      <c r="R8" s="29">
        <f t="shared" si="1"/>
        <v>1296</v>
      </c>
      <c r="S8" s="27">
        <f t="shared" si="1"/>
        <v>82651</v>
      </c>
    </row>
    <row r="14" spans="1:19" ht="15.6" customHeight="1" x14ac:dyDescent="0.3"/>
    <row r="24" ht="15.6" customHeight="1" x14ac:dyDescent="0.3"/>
    <row r="35" ht="15.6" customHeight="1" x14ac:dyDescent="0.3"/>
  </sheetData>
  <mergeCells count="3">
    <mergeCell ref="B2:G2"/>
    <mergeCell ref="H2:M2"/>
    <mergeCell ref="N2:S2"/>
  </mergeCells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B929B-E9F8-4A0C-BCA3-472C7A550C86}">
  <dimension ref="A1:I15"/>
  <sheetViews>
    <sheetView workbookViewId="0">
      <selection activeCell="A19" sqref="A19"/>
    </sheetView>
  </sheetViews>
  <sheetFormatPr defaultRowHeight="15" x14ac:dyDescent="0.3"/>
  <cols>
    <col min="1" max="1" width="47.125" customWidth="1"/>
  </cols>
  <sheetData>
    <row r="1" spans="1:9" ht="15" customHeight="1" x14ac:dyDescent="0.3">
      <c r="A1" s="51" t="s">
        <v>121</v>
      </c>
      <c r="B1" s="11"/>
      <c r="C1" s="11"/>
      <c r="D1" s="11"/>
      <c r="E1" s="11"/>
      <c r="F1" s="11"/>
      <c r="G1" s="11"/>
      <c r="H1" s="11"/>
      <c r="I1" s="3"/>
    </row>
    <row r="2" spans="1:9" ht="15" customHeight="1" x14ac:dyDescent="0.3">
      <c r="A2" s="67"/>
      <c r="B2" s="169" t="s">
        <v>99</v>
      </c>
      <c r="C2" s="170"/>
      <c r="D2" s="170"/>
      <c r="E2" s="171"/>
      <c r="F2" s="169" t="s">
        <v>100</v>
      </c>
      <c r="G2" s="170"/>
      <c r="H2" s="170"/>
      <c r="I2" s="171"/>
    </row>
    <row r="3" spans="1:9" ht="15" customHeight="1" x14ac:dyDescent="0.3">
      <c r="A3" s="172" t="s">
        <v>101</v>
      </c>
      <c r="B3" s="163" t="s">
        <v>97</v>
      </c>
      <c r="C3" s="164"/>
      <c r="D3" s="165" t="s">
        <v>0</v>
      </c>
      <c r="E3" s="167" t="s">
        <v>102</v>
      </c>
      <c r="F3" s="163" t="s">
        <v>97</v>
      </c>
      <c r="G3" s="164"/>
      <c r="H3" s="165" t="s">
        <v>0</v>
      </c>
      <c r="I3" s="167" t="s">
        <v>102</v>
      </c>
    </row>
    <row r="4" spans="1:9" ht="15" customHeight="1" x14ac:dyDescent="0.3">
      <c r="A4" s="173"/>
      <c r="B4" s="78" t="s">
        <v>45</v>
      </c>
      <c r="C4" s="79" t="s">
        <v>46</v>
      </c>
      <c r="D4" s="166"/>
      <c r="E4" s="168"/>
      <c r="F4" s="78" t="s">
        <v>45</v>
      </c>
      <c r="G4" s="79" t="s">
        <v>46</v>
      </c>
      <c r="H4" s="166"/>
      <c r="I4" s="168"/>
    </row>
    <row r="5" spans="1:9" x14ac:dyDescent="0.3">
      <c r="A5" s="72" t="s">
        <v>103</v>
      </c>
      <c r="B5" s="73">
        <v>7797</v>
      </c>
      <c r="C5" s="74">
        <v>7100</v>
      </c>
      <c r="D5" s="75">
        <v>14897</v>
      </c>
      <c r="E5" s="76">
        <v>0.247</v>
      </c>
      <c r="F5" s="73">
        <v>3072</v>
      </c>
      <c r="G5" s="74">
        <v>3208</v>
      </c>
      <c r="H5" s="75">
        <v>6280</v>
      </c>
      <c r="I5" s="77" t="s">
        <v>104</v>
      </c>
    </row>
    <row r="6" spans="1:9" x14ac:dyDescent="0.3">
      <c r="A6" s="69" t="s">
        <v>105</v>
      </c>
      <c r="B6" s="58">
        <v>2936</v>
      </c>
      <c r="C6" s="55">
        <v>2436</v>
      </c>
      <c r="D6" s="54">
        <v>5372</v>
      </c>
      <c r="E6" s="59">
        <v>8.8999999999999996E-2</v>
      </c>
      <c r="F6" s="58">
        <v>869</v>
      </c>
      <c r="G6" s="55">
        <v>474</v>
      </c>
      <c r="H6" s="54">
        <v>1343</v>
      </c>
      <c r="I6" s="59">
        <v>0.06</v>
      </c>
    </row>
    <row r="7" spans="1:9" x14ac:dyDescent="0.3">
      <c r="A7" s="68" t="s">
        <v>120</v>
      </c>
      <c r="B7" s="56">
        <v>2267</v>
      </c>
      <c r="C7" s="53">
        <v>1530</v>
      </c>
      <c r="D7" s="52">
        <v>3797</v>
      </c>
      <c r="E7" s="57">
        <v>6.3E-2</v>
      </c>
      <c r="F7" s="56">
        <v>1133</v>
      </c>
      <c r="G7" s="53">
        <v>1291</v>
      </c>
      <c r="H7" s="52">
        <v>2424</v>
      </c>
      <c r="I7" s="64" t="s">
        <v>106</v>
      </c>
    </row>
    <row r="8" spans="1:9" x14ac:dyDescent="0.3">
      <c r="A8" s="69" t="s">
        <v>118</v>
      </c>
      <c r="B8" s="58">
        <v>8809</v>
      </c>
      <c r="C8" s="55">
        <v>7396</v>
      </c>
      <c r="D8" s="54">
        <v>16205</v>
      </c>
      <c r="E8" s="59">
        <v>0.26900000000000002</v>
      </c>
      <c r="F8" s="58">
        <v>3936</v>
      </c>
      <c r="G8" s="55">
        <v>4562</v>
      </c>
      <c r="H8" s="54">
        <v>8498</v>
      </c>
      <c r="I8" s="65" t="s">
        <v>107</v>
      </c>
    </row>
    <row r="9" spans="1:9" x14ac:dyDescent="0.3">
      <c r="A9" s="68" t="s">
        <v>117</v>
      </c>
      <c r="B9" s="56">
        <v>4526</v>
      </c>
      <c r="C9" s="53">
        <v>2597</v>
      </c>
      <c r="D9" s="52">
        <v>7123</v>
      </c>
      <c r="E9" s="57">
        <v>0.11799999999999999</v>
      </c>
      <c r="F9" s="56">
        <v>142</v>
      </c>
      <c r="G9" s="53">
        <v>171</v>
      </c>
      <c r="H9" s="52">
        <v>313</v>
      </c>
      <c r="I9" s="57">
        <v>1.4E-2</v>
      </c>
    </row>
    <row r="10" spans="1:9" x14ac:dyDescent="0.3">
      <c r="A10" s="70" t="s">
        <v>108</v>
      </c>
      <c r="B10" s="58">
        <v>1423</v>
      </c>
      <c r="C10" s="55">
        <v>516</v>
      </c>
      <c r="D10" s="54">
        <v>1939</v>
      </c>
      <c r="E10" s="59">
        <v>3.2000000000000001E-2</v>
      </c>
      <c r="F10" s="58">
        <v>876</v>
      </c>
      <c r="G10" s="55">
        <v>399</v>
      </c>
      <c r="H10" s="54">
        <v>1275</v>
      </c>
      <c r="I10" s="59">
        <v>5.7000000000000002E-2</v>
      </c>
    </row>
    <row r="11" spans="1:9" x14ac:dyDescent="0.3">
      <c r="A11" s="68" t="s">
        <v>113</v>
      </c>
      <c r="B11" s="56">
        <v>2805</v>
      </c>
      <c r="C11" s="53">
        <v>737</v>
      </c>
      <c r="D11" s="52">
        <v>3542</v>
      </c>
      <c r="E11" s="57">
        <v>5.8999999999999997E-2</v>
      </c>
      <c r="F11" s="56">
        <v>28</v>
      </c>
      <c r="G11" s="53">
        <v>21</v>
      </c>
      <c r="H11" s="52">
        <v>49</v>
      </c>
      <c r="I11" s="57">
        <v>2E-3</v>
      </c>
    </row>
    <row r="12" spans="1:9" x14ac:dyDescent="0.3">
      <c r="A12" s="69" t="s">
        <v>115</v>
      </c>
      <c r="B12" s="58">
        <v>2690</v>
      </c>
      <c r="C12" s="55">
        <v>1818</v>
      </c>
      <c r="D12" s="54">
        <v>4508</v>
      </c>
      <c r="E12" s="59">
        <v>7.4999999999999997E-2</v>
      </c>
      <c r="F12" s="58">
        <v>60</v>
      </c>
      <c r="G12" s="55">
        <v>31</v>
      </c>
      <c r="H12" s="54">
        <v>91</v>
      </c>
      <c r="I12" s="59">
        <v>4.0000000000000001E-3</v>
      </c>
    </row>
    <row r="13" spans="1:9" x14ac:dyDescent="0.3">
      <c r="A13" s="68" t="s">
        <v>109</v>
      </c>
      <c r="B13" s="56">
        <v>1384</v>
      </c>
      <c r="C13" s="53">
        <v>1233</v>
      </c>
      <c r="D13" s="52">
        <v>2617</v>
      </c>
      <c r="E13" s="57">
        <v>4.2999999999999997E-2</v>
      </c>
      <c r="F13" s="56">
        <v>955</v>
      </c>
      <c r="G13" s="53">
        <v>1066</v>
      </c>
      <c r="H13" s="52">
        <v>2021</v>
      </c>
      <c r="I13" s="57">
        <v>0.09</v>
      </c>
    </row>
    <row r="14" spans="1:9" x14ac:dyDescent="0.3">
      <c r="A14" s="69" t="s">
        <v>110</v>
      </c>
      <c r="B14" s="58">
        <v>161</v>
      </c>
      <c r="C14" s="55">
        <v>120</v>
      </c>
      <c r="D14" s="54">
        <v>281</v>
      </c>
      <c r="E14" s="59">
        <v>5.0000000000000001E-3</v>
      </c>
      <c r="F14" s="58">
        <v>16</v>
      </c>
      <c r="G14" s="55">
        <v>60</v>
      </c>
      <c r="H14" s="54">
        <v>76</v>
      </c>
      <c r="I14" s="59">
        <v>3.0000000000000001E-3</v>
      </c>
    </row>
    <row r="15" spans="1:9" ht="15" customHeight="1" x14ac:dyDescent="0.3">
      <c r="A15" s="71" t="s">
        <v>0</v>
      </c>
      <c r="B15" s="60">
        <v>34798</v>
      </c>
      <c r="C15" s="61">
        <v>25483</v>
      </c>
      <c r="D15" s="62">
        <v>60281</v>
      </c>
      <c r="E15" s="63">
        <v>1</v>
      </c>
      <c r="F15" s="60">
        <v>11087</v>
      </c>
      <c r="G15" s="61">
        <v>11283</v>
      </c>
      <c r="H15" s="62">
        <v>22370</v>
      </c>
      <c r="I15" s="66" t="s">
        <v>111</v>
      </c>
    </row>
  </sheetData>
  <mergeCells count="9">
    <mergeCell ref="B2:E2"/>
    <mergeCell ref="F2:I2"/>
    <mergeCell ref="A3:A4"/>
    <mergeCell ref="E3:E4"/>
    <mergeCell ref="B3:C3"/>
    <mergeCell ref="F3:G3"/>
    <mergeCell ref="D3:D4"/>
    <mergeCell ref="H3:H4"/>
    <mergeCell ref="I3:I4"/>
  </mergeCells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93619-D1A8-4BBD-A7E0-72837CA5259D}">
  <dimension ref="A1:Q50"/>
  <sheetViews>
    <sheetView zoomScale="85" zoomScaleNormal="85" workbookViewId="0">
      <selection activeCell="A2" sqref="A2"/>
    </sheetView>
  </sheetViews>
  <sheetFormatPr defaultRowHeight="15.6" x14ac:dyDescent="0.3"/>
  <cols>
    <col min="1" max="1" width="69.625" style="180" bestFit="1" customWidth="1"/>
    <col min="2" max="2" width="44.25" style="180" customWidth="1"/>
    <col min="3" max="5" width="13.875" style="189" customWidth="1"/>
    <col min="6" max="9" width="9" style="178"/>
    <col min="17" max="17" width="9" style="175"/>
    <col min="18" max="16384" width="9" style="178"/>
  </cols>
  <sheetData>
    <row r="1" spans="1:17" s="184" customFormat="1" ht="15" customHeight="1" x14ac:dyDescent="0.35">
      <c r="A1" s="183" t="s">
        <v>214</v>
      </c>
      <c r="B1" s="183"/>
      <c r="C1" s="190"/>
      <c r="D1" s="190"/>
      <c r="E1" s="191"/>
      <c r="Q1" s="185"/>
    </row>
    <row r="2" spans="1:17" s="175" customFormat="1" x14ac:dyDescent="0.3">
      <c r="A2" s="192" t="s">
        <v>207</v>
      </c>
      <c r="B2" s="192" t="s">
        <v>82</v>
      </c>
      <c r="C2" s="193" t="s">
        <v>45</v>
      </c>
      <c r="D2" s="193" t="s">
        <v>46</v>
      </c>
      <c r="E2" s="193" t="s">
        <v>1</v>
      </c>
      <c r="Q2" s="176"/>
    </row>
    <row r="3" spans="1:17" s="175" customFormat="1" x14ac:dyDescent="0.3">
      <c r="A3" s="181" t="s">
        <v>9</v>
      </c>
      <c r="B3" s="181" t="s">
        <v>55</v>
      </c>
      <c r="C3" s="187">
        <v>1092</v>
      </c>
      <c r="D3" s="187">
        <v>890</v>
      </c>
      <c r="E3" s="189">
        <f>C3+D3</f>
        <v>1982</v>
      </c>
      <c r="Q3" s="176"/>
    </row>
    <row r="4" spans="1:17" s="175" customFormat="1" x14ac:dyDescent="0.3">
      <c r="A4" s="181" t="s">
        <v>170</v>
      </c>
      <c r="B4" s="181" t="s">
        <v>55</v>
      </c>
      <c r="C4" s="187">
        <v>203</v>
      </c>
      <c r="D4" s="187">
        <v>221</v>
      </c>
      <c r="E4" s="189">
        <f t="shared" ref="E4:E49" si="0">C4+D4</f>
        <v>424</v>
      </c>
      <c r="Q4" s="176"/>
    </row>
    <row r="5" spans="1:17" s="175" customFormat="1" x14ac:dyDescent="0.3">
      <c r="A5" s="181" t="s">
        <v>171</v>
      </c>
      <c r="B5" s="181" t="s">
        <v>55</v>
      </c>
      <c r="C5" s="187">
        <v>933</v>
      </c>
      <c r="D5" s="187">
        <v>461</v>
      </c>
      <c r="E5" s="189">
        <f t="shared" si="0"/>
        <v>1394</v>
      </c>
      <c r="Q5" s="176"/>
    </row>
    <row r="6" spans="1:17" s="175" customFormat="1" x14ac:dyDescent="0.3">
      <c r="A6" s="181" t="s">
        <v>11</v>
      </c>
      <c r="B6" s="181" t="s">
        <v>55</v>
      </c>
      <c r="C6" s="187">
        <v>2583</v>
      </c>
      <c r="D6" s="187">
        <v>1931</v>
      </c>
      <c r="E6" s="189">
        <f t="shared" si="0"/>
        <v>4514</v>
      </c>
      <c r="Q6" s="176"/>
    </row>
    <row r="7" spans="1:17" s="175" customFormat="1" x14ac:dyDescent="0.3">
      <c r="A7" s="181" t="s">
        <v>12</v>
      </c>
      <c r="B7" s="181" t="s">
        <v>55</v>
      </c>
      <c r="C7" s="187">
        <v>14</v>
      </c>
      <c r="D7" s="187">
        <v>2</v>
      </c>
      <c r="E7" s="189">
        <f t="shared" si="0"/>
        <v>16</v>
      </c>
      <c r="Q7" s="176"/>
    </row>
    <row r="8" spans="1:17" s="175" customFormat="1" x14ac:dyDescent="0.3">
      <c r="A8" s="181" t="s">
        <v>210</v>
      </c>
      <c r="B8" s="181" t="s">
        <v>55</v>
      </c>
      <c r="C8" s="187">
        <v>730</v>
      </c>
      <c r="D8" s="187">
        <v>478</v>
      </c>
      <c r="E8" s="189">
        <f t="shared" si="0"/>
        <v>1208</v>
      </c>
      <c r="Q8" s="176"/>
    </row>
    <row r="9" spans="1:17" s="175" customFormat="1" x14ac:dyDescent="0.3">
      <c r="A9" s="180" t="s">
        <v>204</v>
      </c>
      <c r="B9" s="181" t="s">
        <v>55</v>
      </c>
      <c r="C9" s="187">
        <v>3556</v>
      </c>
      <c r="D9" s="187">
        <v>2718</v>
      </c>
      <c r="E9" s="189">
        <f t="shared" si="0"/>
        <v>6274</v>
      </c>
      <c r="Q9" s="176"/>
    </row>
    <row r="10" spans="1:17" s="175" customFormat="1" x14ac:dyDescent="0.3">
      <c r="A10" s="181" t="s">
        <v>18</v>
      </c>
      <c r="B10" s="181" t="s">
        <v>55</v>
      </c>
      <c r="C10" s="187">
        <v>4291</v>
      </c>
      <c r="D10" s="187">
        <v>3013</v>
      </c>
      <c r="E10" s="189">
        <f t="shared" si="0"/>
        <v>7304</v>
      </c>
      <c r="Q10" s="176"/>
    </row>
    <row r="11" spans="1:17" s="175" customFormat="1" x14ac:dyDescent="0.3">
      <c r="A11" s="181" t="s">
        <v>19</v>
      </c>
      <c r="B11" s="181" t="s">
        <v>55</v>
      </c>
      <c r="C11" s="187">
        <v>502</v>
      </c>
      <c r="D11" s="187">
        <v>389</v>
      </c>
      <c r="E11" s="189">
        <f t="shared" si="0"/>
        <v>891</v>
      </c>
      <c r="Q11" s="176"/>
    </row>
    <row r="12" spans="1:17" s="175" customFormat="1" x14ac:dyDescent="0.3">
      <c r="A12" s="181" t="s">
        <v>20</v>
      </c>
      <c r="B12" s="181" t="s">
        <v>55</v>
      </c>
      <c r="C12" s="187">
        <v>182</v>
      </c>
      <c r="D12" s="187">
        <v>94</v>
      </c>
      <c r="E12" s="189">
        <f t="shared" si="0"/>
        <v>276</v>
      </c>
      <c r="Q12" s="176"/>
    </row>
    <row r="13" spans="1:17" s="175" customFormat="1" x14ac:dyDescent="0.3">
      <c r="A13" s="181" t="s">
        <v>21</v>
      </c>
      <c r="B13" s="181" t="s">
        <v>55</v>
      </c>
      <c r="C13" s="187">
        <v>1855</v>
      </c>
      <c r="D13" s="187">
        <v>1628</v>
      </c>
      <c r="E13" s="189">
        <f t="shared" si="0"/>
        <v>3483</v>
      </c>
      <c r="Q13" s="176"/>
    </row>
    <row r="14" spans="1:17" s="175" customFormat="1" x14ac:dyDescent="0.3">
      <c r="A14" s="181" t="s">
        <v>22</v>
      </c>
      <c r="B14" s="181" t="s">
        <v>55</v>
      </c>
      <c r="C14" s="187">
        <v>919</v>
      </c>
      <c r="D14" s="187">
        <v>741</v>
      </c>
      <c r="E14" s="189">
        <f t="shared" si="0"/>
        <v>1660</v>
      </c>
      <c r="Q14" s="176"/>
    </row>
    <row r="15" spans="1:17" s="175" customFormat="1" x14ac:dyDescent="0.3">
      <c r="A15" s="181" t="s">
        <v>172</v>
      </c>
      <c r="B15" s="181" t="s">
        <v>55</v>
      </c>
      <c r="C15" s="187">
        <v>674</v>
      </c>
      <c r="D15" s="187">
        <v>525</v>
      </c>
      <c r="E15" s="189">
        <f t="shared" si="0"/>
        <v>1199</v>
      </c>
      <c r="Q15" s="176"/>
    </row>
    <row r="16" spans="1:17" s="175" customFormat="1" x14ac:dyDescent="0.3">
      <c r="A16" s="181" t="s">
        <v>173</v>
      </c>
      <c r="B16" s="181" t="s">
        <v>55</v>
      </c>
      <c r="C16" s="187">
        <v>194</v>
      </c>
      <c r="D16" s="187">
        <v>111</v>
      </c>
      <c r="E16" s="189">
        <f t="shared" si="0"/>
        <v>305</v>
      </c>
      <c r="Q16" s="176"/>
    </row>
    <row r="17" spans="1:17" s="175" customFormat="1" x14ac:dyDescent="0.3">
      <c r="A17" s="181" t="s">
        <v>174</v>
      </c>
      <c r="B17" s="181" t="s">
        <v>55</v>
      </c>
      <c r="C17" s="187">
        <v>1786</v>
      </c>
      <c r="D17" s="187">
        <v>1243</v>
      </c>
      <c r="E17" s="189">
        <f t="shared" si="0"/>
        <v>3029</v>
      </c>
      <c r="Q17" s="176"/>
    </row>
    <row r="18" spans="1:17" s="175" customFormat="1" x14ac:dyDescent="0.3">
      <c r="A18" s="180" t="s">
        <v>205</v>
      </c>
      <c r="B18" s="181" t="s">
        <v>55</v>
      </c>
      <c r="C18" s="187">
        <v>1425</v>
      </c>
      <c r="D18" s="187">
        <v>1051</v>
      </c>
      <c r="E18" s="189">
        <f t="shared" si="0"/>
        <v>2476</v>
      </c>
      <c r="Q18" s="176"/>
    </row>
    <row r="19" spans="1:17" s="175" customFormat="1" x14ac:dyDescent="0.3">
      <c r="A19" s="181" t="s">
        <v>175</v>
      </c>
      <c r="B19" s="181" t="s">
        <v>55</v>
      </c>
      <c r="C19" s="187">
        <v>389</v>
      </c>
      <c r="D19" s="187">
        <v>380</v>
      </c>
      <c r="E19" s="189">
        <f t="shared" si="0"/>
        <v>769</v>
      </c>
      <c r="Q19" s="176"/>
    </row>
    <row r="20" spans="1:17" s="175" customFormat="1" x14ac:dyDescent="0.3">
      <c r="A20" s="181" t="s">
        <v>176</v>
      </c>
      <c r="B20" s="181" t="s">
        <v>55</v>
      </c>
      <c r="C20" s="187">
        <v>1225</v>
      </c>
      <c r="D20" s="187">
        <v>1481</v>
      </c>
      <c r="E20" s="189">
        <f t="shared" si="0"/>
        <v>2706</v>
      </c>
      <c r="Q20" s="176"/>
    </row>
    <row r="21" spans="1:17" s="175" customFormat="1" x14ac:dyDescent="0.3">
      <c r="A21" s="181" t="s">
        <v>177</v>
      </c>
      <c r="B21" s="181" t="s">
        <v>55</v>
      </c>
      <c r="C21" s="187">
        <v>389</v>
      </c>
      <c r="D21" s="187">
        <v>261</v>
      </c>
      <c r="E21" s="189">
        <f t="shared" si="0"/>
        <v>650</v>
      </c>
      <c r="Q21" s="176"/>
    </row>
    <row r="22" spans="1:17" s="175" customFormat="1" x14ac:dyDescent="0.3">
      <c r="A22" s="181" t="s">
        <v>178</v>
      </c>
      <c r="B22" s="181" t="s">
        <v>55</v>
      </c>
      <c r="C22" s="187">
        <v>141</v>
      </c>
      <c r="D22" s="187">
        <v>108</v>
      </c>
      <c r="E22" s="189">
        <f t="shared" si="0"/>
        <v>249</v>
      </c>
      <c r="Q22" s="176"/>
    </row>
    <row r="23" spans="1:17" s="175" customFormat="1" x14ac:dyDescent="0.3">
      <c r="A23" s="181" t="s">
        <v>26</v>
      </c>
      <c r="B23" s="181" t="s">
        <v>55</v>
      </c>
      <c r="C23" s="187">
        <v>504</v>
      </c>
      <c r="D23" s="187">
        <v>329</v>
      </c>
      <c r="E23" s="189">
        <f t="shared" si="0"/>
        <v>833</v>
      </c>
      <c r="Q23" s="176"/>
    </row>
    <row r="24" spans="1:17" s="175" customFormat="1" x14ac:dyDescent="0.3">
      <c r="A24" s="181" t="s">
        <v>27</v>
      </c>
      <c r="B24" s="181" t="s">
        <v>55</v>
      </c>
      <c r="C24" s="187">
        <v>575</v>
      </c>
      <c r="D24" s="187">
        <v>358</v>
      </c>
      <c r="E24" s="189">
        <f t="shared" si="0"/>
        <v>933</v>
      </c>
      <c r="Q24" s="176"/>
    </row>
    <row r="25" spans="1:17" s="175" customFormat="1" x14ac:dyDescent="0.3">
      <c r="A25" s="181" t="s">
        <v>29</v>
      </c>
      <c r="B25" s="181" t="s">
        <v>55</v>
      </c>
      <c r="C25" s="187">
        <v>572</v>
      </c>
      <c r="D25" s="187">
        <v>491</v>
      </c>
      <c r="E25" s="189">
        <f t="shared" si="0"/>
        <v>1063</v>
      </c>
      <c r="Q25" s="176"/>
    </row>
    <row r="26" spans="1:17" s="175" customFormat="1" x14ac:dyDescent="0.3">
      <c r="A26" s="181" t="s">
        <v>33</v>
      </c>
      <c r="B26" s="181" t="s">
        <v>55</v>
      </c>
      <c r="C26" s="187">
        <v>956</v>
      </c>
      <c r="D26" s="187">
        <v>467</v>
      </c>
      <c r="E26" s="189">
        <f t="shared" si="0"/>
        <v>1423</v>
      </c>
      <c r="Q26" s="176"/>
    </row>
    <row r="27" spans="1:17" s="175" customFormat="1" x14ac:dyDescent="0.3">
      <c r="A27" s="181" t="s">
        <v>179</v>
      </c>
      <c r="B27" s="181" t="s">
        <v>55</v>
      </c>
      <c r="C27" s="187">
        <v>768</v>
      </c>
      <c r="D27" s="187">
        <v>322</v>
      </c>
      <c r="E27" s="189">
        <f t="shared" si="0"/>
        <v>1090</v>
      </c>
      <c r="Q27" s="176"/>
    </row>
    <row r="28" spans="1:17" s="175" customFormat="1" x14ac:dyDescent="0.3">
      <c r="A28" s="181" t="s">
        <v>35</v>
      </c>
      <c r="B28" s="181" t="s">
        <v>55</v>
      </c>
      <c r="C28" s="187">
        <v>1954</v>
      </c>
      <c r="D28" s="187">
        <v>1632</v>
      </c>
      <c r="E28" s="189">
        <f t="shared" si="0"/>
        <v>3586</v>
      </c>
      <c r="Q28" s="176"/>
    </row>
    <row r="29" spans="1:17" s="175" customFormat="1" x14ac:dyDescent="0.3">
      <c r="A29" s="181" t="s">
        <v>36</v>
      </c>
      <c r="B29" s="181" t="s">
        <v>55</v>
      </c>
      <c r="C29" s="187">
        <v>151</v>
      </c>
      <c r="D29" s="187">
        <v>113</v>
      </c>
      <c r="E29" s="189">
        <f t="shared" si="0"/>
        <v>264</v>
      </c>
      <c r="Q29" s="176"/>
    </row>
    <row r="30" spans="1:17" s="175" customFormat="1" x14ac:dyDescent="0.3">
      <c r="A30" s="181" t="s">
        <v>37</v>
      </c>
      <c r="B30" s="181" t="s">
        <v>55</v>
      </c>
      <c r="C30" s="187">
        <v>866</v>
      </c>
      <c r="D30" s="187">
        <v>629</v>
      </c>
      <c r="E30" s="189">
        <f t="shared" si="0"/>
        <v>1495</v>
      </c>
      <c r="Q30" s="176"/>
    </row>
    <row r="31" spans="1:17" s="175" customFormat="1" x14ac:dyDescent="0.3">
      <c r="A31" s="181" t="s">
        <v>38</v>
      </c>
      <c r="B31" s="181" t="s">
        <v>55</v>
      </c>
      <c r="C31" s="187">
        <v>5369</v>
      </c>
      <c r="D31" s="187">
        <v>3416</v>
      </c>
      <c r="E31" s="189">
        <f t="shared" si="0"/>
        <v>8785</v>
      </c>
      <c r="Q31" s="176"/>
    </row>
    <row r="32" spans="1:17" s="175" customFormat="1" x14ac:dyDescent="0.3">
      <c r="A32" s="182" t="s">
        <v>180</v>
      </c>
      <c r="B32" s="182" t="s">
        <v>57</v>
      </c>
      <c r="C32" s="187">
        <v>61</v>
      </c>
      <c r="D32" s="187">
        <v>6</v>
      </c>
      <c r="E32" s="189">
        <f t="shared" si="0"/>
        <v>67</v>
      </c>
      <c r="Q32" s="176"/>
    </row>
    <row r="33" spans="1:9" x14ac:dyDescent="0.3">
      <c r="A33" s="182" t="s">
        <v>182</v>
      </c>
      <c r="B33" s="182" t="s">
        <v>57</v>
      </c>
      <c r="C33" s="187">
        <v>176</v>
      </c>
      <c r="D33" s="187">
        <v>104</v>
      </c>
      <c r="E33" s="189">
        <f t="shared" si="0"/>
        <v>280</v>
      </c>
    </row>
    <row r="34" spans="1:9" x14ac:dyDescent="0.3">
      <c r="A34" s="182" t="s">
        <v>183</v>
      </c>
      <c r="B34" s="182" t="s">
        <v>57</v>
      </c>
      <c r="C34" s="187">
        <v>356</v>
      </c>
      <c r="D34" s="187">
        <v>612</v>
      </c>
      <c r="E34" s="189">
        <f t="shared" si="0"/>
        <v>968</v>
      </c>
    </row>
    <row r="35" spans="1:9" ht="15.6" customHeight="1" x14ac:dyDescent="0.3">
      <c r="A35" s="182" t="s">
        <v>184</v>
      </c>
      <c r="B35" s="182" t="s">
        <v>57</v>
      </c>
      <c r="C35" s="187">
        <v>601</v>
      </c>
      <c r="D35" s="187">
        <v>640</v>
      </c>
      <c r="E35" s="189">
        <f t="shared" si="0"/>
        <v>1241</v>
      </c>
    </row>
    <row r="36" spans="1:9" ht="15.6" customHeight="1" x14ac:dyDescent="0.3">
      <c r="A36" s="182" t="s">
        <v>185</v>
      </c>
      <c r="B36" s="182" t="s">
        <v>57</v>
      </c>
      <c r="C36" s="187">
        <v>327</v>
      </c>
      <c r="D36" s="187">
        <v>607</v>
      </c>
      <c r="E36" s="189">
        <f t="shared" si="0"/>
        <v>934</v>
      </c>
      <c r="F36" s="174"/>
      <c r="G36" s="174"/>
      <c r="H36" s="174"/>
      <c r="I36" s="174"/>
    </row>
    <row r="37" spans="1:9" ht="15" customHeight="1" x14ac:dyDescent="0.3">
      <c r="A37" s="182" t="s">
        <v>186</v>
      </c>
      <c r="B37" s="182" t="s">
        <v>57</v>
      </c>
      <c r="C37" s="187">
        <v>147</v>
      </c>
      <c r="D37" s="187">
        <v>185</v>
      </c>
      <c r="E37" s="189">
        <f t="shared" si="0"/>
        <v>332</v>
      </c>
      <c r="F37" s="174"/>
      <c r="G37" s="174"/>
      <c r="H37" s="174"/>
      <c r="I37" s="174"/>
    </row>
    <row r="38" spans="1:9" ht="15" customHeight="1" x14ac:dyDescent="0.3">
      <c r="A38" s="182" t="s">
        <v>188</v>
      </c>
      <c r="B38" s="182" t="s">
        <v>57</v>
      </c>
      <c r="C38" s="187">
        <v>325</v>
      </c>
      <c r="D38" s="187">
        <v>325</v>
      </c>
      <c r="E38" s="189">
        <f t="shared" si="0"/>
        <v>650</v>
      </c>
      <c r="F38" s="174"/>
      <c r="G38" s="174"/>
      <c r="H38" s="174"/>
      <c r="I38" s="174"/>
    </row>
    <row r="39" spans="1:9" ht="15" customHeight="1" x14ac:dyDescent="0.3">
      <c r="A39" s="182" t="s">
        <v>189</v>
      </c>
      <c r="B39" s="182" t="s">
        <v>57</v>
      </c>
      <c r="C39" s="187">
        <v>30</v>
      </c>
      <c r="D39" s="187">
        <v>26</v>
      </c>
      <c r="E39" s="189">
        <f t="shared" si="0"/>
        <v>56</v>
      </c>
      <c r="G39" s="177"/>
      <c r="I39" s="177"/>
    </row>
    <row r="40" spans="1:9" ht="15" customHeight="1" x14ac:dyDescent="0.3">
      <c r="A40" s="182" t="s">
        <v>192</v>
      </c>
      <c r="B40" s="182" t="s">
        <v>57</v>
      </c>
      <c r="C40" s="187">
        <v>606</v>
      </c>
      <c r="D40" s="187">
        <v>531</v>
      </c>
      <c r="E40" s="189">
        <f t="shared" si="0"/>
        <v>1137</v>
      </c>
      <c r="G40" s="177"/>
      <c r="I40" s="177"/>
    </row>
    <row r="41" spans="1:9" ht="15" customHeight="1" x14ac:dyDescent="0.3">
      <c r="A41" s="182" t="s">
        <v>193</v>
      </c>
      <c r="B41" s="182" t="s">
        <v>57</v>
      </c>
      <c r="C41" s="187">
        <v>12</v>
      </c>
      <c r="D41" s="187">
        <v>12</v>
      </c>
      <c r="E41" s="189">
        <f t="shared" si="0"/>
        <v>24</v>
      </c>
      <c r="G41" s="177"/>
      <c r="I41" s="177"/>
    </row>
    <row r="42" spans="1:9" ht="15" customHeight="1" x14ac:dyDescent="0.3">
      <c r="A42" s="182" t="s">
        <v>195</v>
      </c>
      <c r="B42" s="182" t="s">
        <v>57</v>
      </c>
      <c r="C42" s="187">
        <v>1464</v>
      </c>
      <c r="D42" s="187">
        <v>1317</v>
      </c>
      <c r="E42" s="189">
        <f t="shared" si="0"/>
        <v>2781</v>
      </c>
      <c r="G42" s="177"/>
      <c r="I42" s="177"/>
    </row>
    <row r="43" spans="1:9" ht="15" customHeight="1" x14ac:dyDescent="0.3">
      <c r="A43" s="182" t="s">
        <v>196</v>
      </c>
      <c r="B43" s="182" t="s">
        <v>57</v>
      </c>
      <c r="C43" s="187">
        <v>4479</v>
      </c>
      <c r="D43" s="187">
        <v>3739</v>
      </c>
      <c r="E43" s="189">
        <f t="shared" si="0"/>
        <v>8218</v>
      </c>
      <c r="G43" s="177"/>
      <c r="I43" s="177"/>
    </row>
    <row r="44" spans="1:9" ht="15" customHeight="1" x14ac:dyDescent="0.3">
      <c r="A44" s="182" t="s">
        <v>197</v>
      </c>
      <c r="B44" s="182" t="s">
        <v>57</v>
      </c>
      <c r="C44" s="187">
        <v>54</v>
      </c>
      <c r="D44" s="187">
        <v>71</v>
      </c>
      <c r="E44" s="189">
        <f t="shared" si="0"/>
        <v>125</v>
      </c>
      <c r="G44" s="177"/>
      <c r="I44" s="177"/>
    </row>
    <row r="45" spans="1:9" ht="15" customHeight="1" x14ac:dyDescent="0.3">
      <c r="A45" s="182" t="s">
        <v>198</v>
      </c>
      <c r="B45" s="182" t="s">
        <v>57</v>
      </c>
      <c r="C45" s="187">
        <v>14</v>
      </c>
      <c r="D45" s="187">
        <v>13</v>
      </c>
      <c r="E45" s="189">
        <f t="shared" si="0"/>
        <v>27</v>
      </c>
      <c r="G45" s="177"/>
      <c r="I45" s="177"/>
    </row>
    <row r="46" spans="1:9" ht="15" customHeight="1" x14ac:dyDescent="0.3">
      <c r="A46" s="182" t="s">
        <v>199</v>
      </c>
      <c r="B46" s="182" t="s">
        <v>57</v>
      </c>
      <c r="C46" s="187">
        <v>454</v>
      </c>
      <c r="D46" s="187">
        <v>633</v>
      </c>
      <c r="E46" s="189">
        <f t="shared" si="0"/>
        <v>1087</v>
      </c>
      <c r="G46" s="177"/>
      <c r="I46" s="177"/>
    </row>
    <row r="47" spans="1:9" ht="15" customHeight="1" x14ac:dyDescent="0.3">
      <c r="A47" s="182" t="s">
        <v>201</v>
      </c>
      <c r="B47" s="182" t="s">
        <v>57</v>
      </c>
      <c r="C47" s="187">
        <v>432</v>
      </c>
      <c r="D47" s="187">
        <v>538</v>
      </c>
      <c r="E47" s="189">
        <f t="shared" si="0"/>
        <v>970</v>
      </c>
      <c r="G47" s="177"/>
      <c r="I47" s="177"/>
    </row>
    <row r="48" spans="1:9" ht="15" customHeight="1" x14ac:dyDescent="0.3">
      <c r="A48" s="182" t="s">
        <v>202</v>
      </c>
      <c r="B48" s="182" t="s">
        <v>57</v>
      </c>
      <c r="C48" s="187">
        <v>593</v>
      </c>
      <c r="D48" s="187">
        <v>828</v>
      </c>
      <c r="E48" s="189">
        <f t="shared" si="0"/>
        <v>1421</v>
      </c>
      <c r="G48" s="177"/>
      <c r="I48" s="177"/>
    </row>
    <row r="49" spans="1:9" ht="15" customHeight="1" x14ac:dyDescent="0.3">
      <c r="A49" s="182" t="s">
        <v>203</v>
      </c>
      <c r="B49" s="182" t="s">
        <v>57</v>
      </c>
      <c r="C49" s="187">
        <v>181</v>
      </c>
      <c r="D49" s="187">
        <v>253</v>
      </c>
      <c r="E49" s="189">
        <f t="shared" si="0"/>
        <v>434</v>
      </c>
      <c r="G49" s="177"/>
      <c r="I49" s="177"/>
    </row>
    <row r="50" spans="1:9" x14ac:dyDescent="0.3">
      <c r="B50" s="192" t="s">
        <v>83</v>
      </c>
      <c r="C50" s="193">
        <f>SUM(C3:C49)</f>
        <v>45110</v>
      </c>
      <c r="D50" s="193">
        <f t="shared" ref="D50:E50" si="1">SUM(D3:D49)</f>
        <v>35923</v>
      </c>
      <c r="E50" s="193">
        <f t="shared" si="1"/>
        <v>81033</v>
      </c>
    </row>
  </sheetData>
  <phoneticPr fontId="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CCDCC-4BF1-439A-B5BB-F2585C6A84B4}">
  <dimension ref="A1:G50"/>
  <sheetViews>
    <sheetView zoomScale="85" zoomScaleNormal="85" workbookViewId="0">
      <selection activeCell="A2" sqref="A2"/>
    </sheetView>
  </sheetViews>
  <sheetFormatPr defaultRowHeight="15.6" x14ac:dyDescent="0.3"/>
  <cols>
    <col min="1" max="1" width="68.125" style="180" customWidth="1"/>
    <col min="2" max="2" width="32.375" style="180" customWidth="1"/>
    <col min="3" max="7" width="11.75" style="189" customWidth="1"/>
  </cols>
  <sheetData>
    <row r="1" spans="1:7" ht="18" x14ac:dyDescent="0.3">
      <c r="A1" s="183" t="s">
        <v>213</v>
      </c>
      <c r="B1" s="179"/>
      <c r="C1" s="186"/>
      <c r="D1" s="186"/>
      <c r="E1" s="186"/>
      <c r="F1" s="186"/>
      <c r="G1" s="186"/>
    </row>
    <row r="2" spans="1:7" x14ac:dyDescent="0.3">
      <c r="A2" s="192" t="s">
        <v>207</v>
      </c>
      <c r="B2" s="192" t="s">
        <v>82</v>
      </c>
      <c r="C2" s="193" t="s">
        <v>2</v>
      </c>
      <c r="D2" s="193" t="s">
        <v>86</v>
      </c>
      <c r="E2" s="193" t="s">
        <v>3</v>
      </c>
      <c r="F2" s="193" t="s">
        <v>87</v>
      </c>
      <c r="G2" s="193" t="s">
        <v>1</v>
      </c>
    </row>
    <row r="3" spans="1:7" x14ac:dyDescent="0.3">
      <c r="A3" s="181" t="s">
        <v>9</v>
      </c>
      <c r="B3" s="181" t="s">
        <v>55</v>
      </c>
      <c r="C3" s="187">
        <v>1951</v>
      </c>
      <c r="D3" s="187">
        <v>13</v>
      </c>
      <c r="E3" s="187">
        <v>16</v>
      </c>
      <c r="F3" s="187">
        <v>2</v>
      </c>
      <c r="G3" s="188">
        <f>SUM(C3:F3)</f>
        <v>1982</v>
      </c>
    </row>
    <row r="4" spans="1:7" x14ac:dyDescent="0.3">
      <c r="A4" s="181" t="s">
        <v>170</v>
      </c>
      <c r="B4" s="181" t="s">
        <v>55</v>
      </c>
      <c r="C4" s="187">
        <v>424</v>
      </c>
      <c r="D4" s="187">
        <v>0</v>
      </c>
      <c r="E4" s="187">
        <v>0</v>
      </c>
      <c r="F4" s="187">
        <v>0</v>
      </c>
      <c r="G4" s="188">
        <f t="shared" ref="G4:G49" si="0">SUM(C4:F4)</f>
        <v>424</v>
      </c>
    </row>
    <row r="5" spans="1:7" x14ac:dyDescent="0.3">
      <c r="A5" s="181" t="s">
        <v>171</v>
      </c>
      <c r="B5" s="181" t="s">
        <v>55</v>
      </c>
      <c r="C5" s="187">
        <v>1368</v>
      </c>
      <c r="D5" s="187">
        <v>0</v>
      </c>
      <c r="E5" s="187">
        <v>20</v>
      </c>
      <c r="F5" s="187">
        <v>6</v>
      </c>
      <c r="G5" s="188">
        <f t="shared" si="0"/>
        <v>1394</v>
      </c>
    </row>
    <row r="6" spans="1:7" x14ac:dyDescent="0.3">
      <c r="A6" s="181" t="s">
        <v>11</v>
      </c>
      <c r="B6" s="181" t="s">
        <v>55</v>
      </c>
      <c r="C6" s="187">
        <v>4373</v>
      </c>
      <c r="D6" s="187">
        <v>0</v>
      </c>
      <c r="E6" s="187">
        <v>123</v>
      </c>
      <c r="F6" s="187">
        <v>18</v>
      </c>
      <c r="G6" s="188">
        <f t="shared" si="0"/>
        <v>4514</v>
      </c>
    </row>
    <row r="7" spans="1:7" x14ac:dyDescent="0.3">
      <c r="A7" s="181" t="s">
        <v>12</v>
      </c>
      <c r="B7" s="181" t="s">
        <v>55</v>
      </c>
      <c r="C7" s="187">
        <v>8</v>
      </c>
      <c r="D7" s="187">
        <v>0</v>
      </c>
      <c r="E7" s="187">
        <v>8</v>
      </c>
      <c r="F7" s="187">
        <v>0</v>
      </c>
      <c r="G7" s="188">
        <f t="shared" si="0"/>
        <v>16</v>
      </c>
    </row>
    <row r="8" spans="1:7" x14ac:dyDescent="0.3">
      <c r="A8" s="181" t="s">
        <v>210</v>
      </c>
      <c r="B8" s="181" t="s">
        <v>55</v>
      </c>
      <c r="C8" s="187">
        <v>1125</v>
      </c>
      <c r="D8" s="187">
        <v>0</v>
      </c>
      <c r="E8" s="187">
        <v>60</v>
      </c>
      <c r="F8" s="187">
        <v>23</v>
      </c>
      <c r="G8" s="188">
        <f t="shared" si="0"/>
        <v>1208</v>
      </c>
    </row>
    <row r="9" spans="1:7" x14ac:dyDescent="0.3">
      <c r="A9" s="181" t="s">
        <v>208</v>
      </c>
      <c r="B9" s="181" t="s">
        <v>55</v>
      </c>
      <c r="C9" s="187">
        <v>4766</v>
      </c>
      <c r="D9" s="187">
        <v>0</v>
      </c>
      <c r="E9" s="187">
        <v>1347</v>
      </c>
      <c r="F9" s="187">
        <v>161</v>
      </c>
      <c r="G9" s="188">
        <f t="shared" si="0"/>
        <v>6274</v>
      </c>
    </row>
    <row r="10" spans="1:7" x14ac:dyDescent="0.3">
      <c r="A10" s="181" t="s">
        <v>18</v>
      </c>
      <c r="B10" s="181" t="s">
        <v>55</v>
      </c>
      <c r="C10" s="187">
        <v>6446</v>
      </c>
      <c r="D10" s="187">
        <v>0</v>
      </c>
      <c r="E10" s="187">
        <v>792</v>
      </c>
      <c r="F10" s="187">
        <v>66</v>
      </c>
      <c r="G10" s="188">
        <f t="shared" si="0"/>
        <v>7304</v>
      </c>
    </row>
    <row r="11" spans="1:7" x14ac:dyDescent="0.3">
      <c r="A11" s="181" t="s">
        <v>19</v>
      </c>
      <c r="B11" s="181" t="s">
        <v>55</v>
      </c>
      <c r="C11" s="187">
        <v>876</v>
      </c>
      <c r="D11" s="187">
        <v>0</v>
      </c>
      <c r="E11" s="187">
        <v>14</v>
      </c>
      <c r="F11" s="187">
        <v>1</v>
      </c>
      <c r="G11" s="188">
        <f t="shared" si="0"/>
        <v>891</v>
      </c>
    </row>
    <row r="12" spans="1:7" x14ac:dyDescent="0.3">
      <c r="A12" s="181" t="s">
        <v>20</v>
      </c>
      <c r="B12" s="181" t="s">
        <v>55</v>
      </c>
      <c r="C12" s="187">
        <v>276</v>
      </c>
      <c r="D12" s="187">
        <v>0</v>
      </c>
      <c r="E12" s="187">
        <v>0</v>
      </c>
      <c r="F12" s="187">
        <v>0</v>
      </c>
      <c r="G12" s="188">
        <f t="shared" si="0"/>
        <v>276</v>
      </c>
    </row>
    <row r="13" spans="1:7" x14ac:dyDescent="0.3">
      <c r="A13" s="181" t="s">
        <v>21</v>
      </c>
      <c r="B13" s="181" t="s">
        <v>55</v>
      </c>
      <c r="C13" s="187">
        <v>3332</v>
      </c>
      <c r="D13" s="187">
        <v>39</v>
      </c>
      <c r="E13" s="187">
        <v>103</v>
      </c>
      <c r="F13" s="187">
        <v>9</v>
      </c>
      <c r="G13" s="188">
        <f t="shared" si="0"/>
        <v>3483</v>
      </c>
    </row>
    <row r="14" spans="1:7" x14ac:dyDescent="0.3">
      <c r="A14" s="181" t="s">
        <v>22</v>
      </c>
      <c r="B14" s="181" t="s">
        <v>55</v>
      </c>
      <c r="C14" s="187">
        <v>1633</v>
      </c>
      <c r="D14" s="187">
        <v>9</v>
      </c>
      <c r="E14" s="187">
        <v>13</v>
      </c>
      <c r="F14" s="187">
        <v>5</v>
      </c>
      <c r="G14" s="188">
        <f t="shared" si="0"/>
        <v>1660</v>
      </c>
    </row>
    <row r="15" spans="1:7" x14ac:dyDescent="0.3">
      <c r="A15" s="181" t="s">
        <v>172</v>
      </c>
      <c r="B15" s="181" t="s">
        <v>55</v>
      </c>
      <c r="C15" s="187">
        <v>1180</v>
      </c>
      <c r="D15" s="187">
        <v>0</v>
      </c>
      <c r="E15" s="187">
        <v>13</v>
      </c>
      <c r="F15" s="187">
        <v>6</v>
      </c>
      <c r="G15" s="188">
        <f t="shared" si="0"/>
        <v>1199</v>
      </c>
    </row>
    <row r="16" spans="1:7" x14ac:dyDescent="0.3">
      <c r="A16" s="181" t="s">
        <v>173</v>
      </c>
      <c r="B16" s="181" t="s">
        <v>55</v>
      </c>
      <c r="C16" s="187">
        <v>300</v>
      </c>
      <c r="D16" s="187">
        <v>0</v>
      </c>
      <c r="E16" s="187">
        <v>5</v>
      </c>
      <c r="F16" s="187">
        <v>0</v>
      </c>
      <c r="G16" s="188">
        <f t="shared" si="0"/>
        <v>305</v>
      </c>
    </row>
    <row r="17" spans="1:7" x14ac:dyDescent="0.3">
      <c r="A17" s="181" t="s">
        <v>174</v>
      </c>
      <c r="B17" s="181" t="s">
        <v>55</v>
      </c>
      <c r="C17" s="187">
        <v>2777</v>
      </c>
      <c r="D17" s="187">
        <v>0</v>
      </c>
      <c r="E17" s="187">
        <v>204</v>
      </c>
      <c r="F17" s="187">
        <v>48</v>
      </c>
      <c r="G17" s="188">
        <f t="shared" si="0"/>
        <v>3029</v>
      </c>
    </row>
    <row r="18" spans="1:7" x14ac:dyDescent="0.3">
      <c r="A18" s="181" t="s">
        <v>211</v>
      </c>
      <c r="B18" s="181" t="s">
        <v>55</v>
      </c>
      <c r="C18" s="187">
        <v>2402</v>
      </c>
      <c r="D18" s="187">
        <v>1</v>
      </c>
      <c r="E18" s="187">
        <v>43</v>
      </c>
      <c r="F18" s="187">
        <v>30</v>
      </c>
      <c r="G18" s="188">
        <f t="shared" si="0"/>
        <v>2476</v>
      </c>
    </row>
    <row r="19" spans="1:7" x14ac:dyDescent="0.3">
      <c r="A19" s="181" t="s">
        <v>175</v>
      </c>
      <c r="B19" s="181" t="s">
        <v>55</v>
      </c>
      <c r="C19" s="187">
        <v>762</v>
      </c>
      <c r="D19" s="187">
        <v>0</v>
      </c>
      <c r="E19" s="187">
        <v>7</v>
      </c>
      <c r="F19" s="187">
        <v>0</v>
      </c>
      <c r="G19" s="188">
        <f t="shared" si="0"/>
        <v>769</v>
      </c>
    </row>
    <row r="20" spans="1:7" x14ac:dyDescent="0.3">
      <c r="A20" s="181" t="s">
        <v>176</v>
      </c>
      <c r="B20" s="181" t="s">
        <v>55</v>
      </c>
      <c r="C20" s="187">
        <v>2670</v>
      </c>
      <c r="D20" s="187">
        <v>0</v>
      </c>
      <c r="E20" s="187">
        <v>29</v>
      </c>
      <c r="F20" s="187">
        <v>7</v>
      </c>
      <c r="G20" s="188">
        <f t="shared" si="0"/>
        <v>2706</v>
      </c>
    </row>
    <row r="21" spans="1:7" x14ac:dyDescent="0.3">
      <c r="A21" s="181" t="s">
        <v>177</v>
      </c>
      <c r="B21" s="181" t="s">
        <v>55</v>
      </c>
      <c r="C21" s="187">
        <v>650</v>
      </c>
      <c r="D21" s="187">
        <v>0</v>
      </c>
      <c r="E21" s="187">
        <v>0</v>
      </c>
      <c r="F21" s="187">
        <v>0</v>
      </c>
      <c r="G21" s="188">
        <f t="shared" si="0"/>
        <v>650</v>
      </c>
    </row>
    <row r="22" spans="1:7" x14ac:dyDescent="0.3">
      <c r="A22" s="181" t="s">
        <v>178</v>
      </c>
      <c r="B22" s="181" t="s">
        <v>55</v>
      </c>
      <c r="C22" s="187">
        <v>242</v>
      </c>
      <c r="D22" s="187">
        <v>0</v>
      </c>
      <c r="E22" s="187">
        <v>7</v>
      </c>
      <c r="F22" s="187">
        <v>0</v>
      </c>
      <c r="G22" s="188">
        <f t="shared" si="0"/>
        <v>249</v>
      </c>
    </row>
    <row r="23" spans="1:7" x14ac:dyDescent="0.3">
      <c r="A23" s="181" t="s">
        <v>26</v>
      </c>
      <c r="B23" s="181" t="s">
        <v>55</v>
      </c>
      <c r="C23" s="187">
        <v>788</v>
      </c>
      <c r="D23" s="187">
        <v>0</v>
      </c>
      <c r="E23" s="187">
        <v>36</v>
      </c>
      <c r="F23" s="187">
        <v>9</v>
      </c>
      <c r="G23" s="188">
        <f t="shared" si="0"/>
        <v>833</v>
      </c>
    </row>
    <row r="24" spans="1:7" x14ac:dyDescent="0.3">
      <c r="A24" s="181" t="s">
        <v>27</v>
      </c>
      <c r="B24" s="181" t="s">
        <v>55</v>
      </c>
      <c r="C24" s="187">
        <v>922</v>
      </c>
      <c r="D24" s="187">
        <v>0</v>
      </c>
      <c r="E24" s="187">
        <v>6</v>
      </c>
      <c r="F24" s="187">
        <v>5</v>
      </c>
      <c r="G24" s="188">
        <f t="shared" si="0"/>
        <v>933</v>
      </c>
    </row>
    <row r="25" spans="1:7" x14ac:dyDescent="0.3">
      <c r="A25" s="181" t="s">
        <v>29</v>
      </c>
      <c r="B25" s="181" t="s">
        <v>55</v>
      </c>
      <c r="C25" s="187">
        <v>1033</v>
      </c>
      <c r="D25" s="187">
        <v>0</v>
      </c>
      <c r="E25" s="187">
        <v>29</v>
      </c>
      <c r="F25" s="187">
        <v>1</v>
      </c>
      <c r="G25" s="188">
        <f t="shared" si="0"/>
        <v>1063</v>
      </c>
    </row>
    <row r="26" spans="1:7" x14ac:dyDescent="0.3">
      <c r="A26" s="181" t="s">
        <v>33</v>
      </c>
      <c r="B26" s="181" t="s">
        <v>55</v>
      </c>
      <c r="C26" s="187">
        <v>1423</v>
      </c>
      <c r="D26" s="187">
        <v>0</v>
      </c>
      <c r="E26" s="187">
        <v>0</v>
      </c>
      <c r="F26" s="187">
        <v>0</v>
      </c>
      <c r="G26" s="188">
        <f t="shared" si="0"/>
        <v>1423</v>
      </c>
    </row>
    <row r="27" spans="1:7" x14ac:dyDescent="0.3">
      <c r="A27" s="181" t="s">
        <v>179</v>
      </c>
      <c r="B27" s="181" t="s">
        <v>55</v>
      </c>
      <c r="C27" s="187">
        <v>1076</v>
      </c>
      <c r="D27" s="187">
        <v>0</v>
      </c>
      <c r="E27" s="187">
        <v>14</v>
      </c>
      <c r="F27" s="187">
        <v>0</v>
      </c>
      <c r="G27" s="188">
        <f t="shared" si="0"/>
        <v>1090</v>
      </c>
    </row>
    <row r="28" spans="1:7" x14ac:dyDescent="0.3">
      <c r="A28" s="181" t="s">
        <v>35</v>
      </c>
      <c r="B28" s="181" t="s">
        <v>55</v>
      </c>
      <c r="C28" s="187">
        <v>3520</v>
      </c>
      <c r="D28" s="187">
        <v>4</v>
      </c>
      <c r="E28" s="187">
        <v>46</v>
      </c>
      <c r="F28" s="187">
        <v>16</v>
      </c>
      <c r="G28" s="188">
        <f t="shared" si="0"/>
        <v>3586</v>
      </c>
    </row>
    <row r="29" spans="1:7" x14ac:dyDescent="0.3">
      <c r="A29" s="181" t="s">
        <v>36</v>
      </c>
      <c r="B29" s="181" t="s">
        <v>55</v>
      </c>
      <c r="C29" s="187">
        <v>253</v>
      </c>
      <c r="D29" s="187">
        <v>0</v>
      </c>
      <c r="E29" s="187">
        <v>11</v>
      </c>
      <c r="F29" s="187">
        <v>0</v>
      </c>
      <c r="G29" s="188">
        <f t="shared" si="0"/>
        <v>264</v>
      </c>
    </row>
    <row r="30" spans="1:7" x14ac:dyDescent="0.3">
      <c r="A30" s="181" t="s">
        <v>37</v>
      </c>
      <c r="B30" s="181" t="s">
        <v>55</v>
      </c>
      <c r="C30" s="187">
        <v>1473</v>
      </c>
      <c r="D30" s="187">
        <v>0</v>
      </c>
      <c r="E30" s="187">
        <v>22</v>
      </c>
      <c r="F30" s="187">
        <v>0</v>
      </c>
      <c r="G30" s="188">
        <f t="shared" si="0"/>
        <v>1495</v>
      </c>
    </row>
    <row r="31" spans="1:7" x14ac:dyDescent="0.3">
      <c r="A31" s="181" t="s">
        <v>38</v>
      </c>
      <c r="B31" s="181" t="s">
        <v>55</v>
      </c>
      <c r="C31" s="187">
        <v>6339</v>
      </c>
      <c r="D31" s="187">
        <v>0</v>
      </c>
      <c r="E31" s="187">
        <v>2337</v>
      </c>
      <c r="F31" s="187">
        <v>109</v>
      </c>
      <c r="G31" s="188">
        <f t="shared" si="0"/>
        <v>8785</v>
      </c>
    </row>
    <row r="32" spans="1:7" x14ac:dyDescent="0.3">
      <c r="A32" s="181" t="s">
        <v>181</v>
      </c>
      <c r="B32" s="182" t="s">
        <v>57</v>
      </c>
      <c r="C32" s="187">
        <v>0</v>
      </c>
      <c r="D32" s="187">
        <v>0</v>
      </c>
      <c r="E32" s="187">
        <v>67</v>
      </c>
      <c r="F32" s="187">
        <v>0</v>
      </c>
      <c r="G32" s="188">
        <f t="shared" si="0"/>
        <v>67</v>
      </c>
    </row>
    <row r="33" spans="1:7" x14ac:dyDescent="0.3">
      <c r="A33" s="181" t="s">
        <v>6</v>
      </c>
      <c r="B33" s="182" t="s">
        <v>57</v>
      </c>
      <c r="C33" s="187">
        <v>188</v>
      </c>
      <c r="D33" s="187">
        <v>4</v>
      </c>
      <c r="E33" s="187">
        <v>62</v>
      </c>
      <c r="F33" s="187">
        <v>26</v>
      </c>
      <c r="G33" s="188">
        <f>SUM(C33:F33)</f>
        <v>280</v>
      </c>
    </row>
    <row r="34" spans="1:7" x14ac:dyDescent="0.3">
      <c r="A34" s="181" t="s">
        <v>7</v>
      </c>
      <c r="B34" s="182" t="s">
        <v>57</v>
      </c>
      <c r="C34" s="187">
        <v>696</v>
      </c>
      <c r="D34" s="187">
        <v>0</v>
      </c>
      <c r="E34" s="187">
        <v>272</v>
      </c>
      <c r="F34" s="187">
        <v>0</v>
      </c>
      <c r="G34" s="188">
        <f t="shared" si="0"/>
        <v>968</v>
      </c>
    </row>
    <row r="35" spans="1:7" x14ac:dyDescent="0.3">
      <c r="A35" s="181" t="s">
        <v>8</v>
      </c>
      <c r="B35" s="182" t="s">
        <v>57</v>
      </c>
      <c r="C35" s="187">
        <v>978</v>
      </c>
      <c r="D35" s="187">
        <v>5</v>
      </c>
      <c r="E35" s="187">
        <v>215</v>
      </c>
      <c r="F35" s="187">
        <v>43</v>
      </c>
      <c r="G35" s="188">
        <f t="shared" si="0"/>
        <v>1241</v>
      </c>
    </row>
    <row r="36" spans="1:7" x14ac:dyDescent="0.3">
      <c r="A36" s="181" t="s">
        <v>10</v>
      </c>
      <c r="B36" s="182" t="s">
        <v>57</v>
      </c>
      <c r="C36" s="187">
        <v>714</v>
      </c>
      <c r="D36" s="187">
        <v>3</v>
      </c>
      <c r="E36" s="187">
        <v>210</v>
      </c>
      <c r="F36" s="187">
        <v>7</v>
      </c>
      <c r="G36" s="188">
        <f t="shared" si="0"/>
        <v>934</v>
      </c>
    </row>
    <row r="37" spans="1:7" x14ac:dyDescent="0.3">
      <c r="A37" s="181" t="s">
        <v>187</v>
      </c>
      <c r="B37" s="182" t="s">
        <v>57</v>
      </c>
      <c r="C37" s="187">
        <v>302</v>
      </c>
      <c r="D37" s="187">
        <v>0</v>
      </c>
      <c r="E37" s="187">
        <v>26</v>
      </c>
      <c r="F37" s="187">
        <v>4</v>
      </c>
      <c r="G37" s="188">
        <f t="shared" si="0"/>
        <v>332</v>
      </c>
    </row>
    <row r="38" spans="1:7" x14ac:dyDescent="0.3">
      <c r="A38" s="181" t="s">
        <v>14</v>
      </c>
      <c r="B38" s="182" t="s">
        <v>57</v>
      </c>
      <c r="C38" s="187">
        <v>623</v>
      </c>
      <c r="D38" s="187">
        <v>0</v>
      </c>
      <c r="E38" s="187">
        <v>15</v>
      </c>
      <c r="F38" s="187">
        <v>12</v>
      </c>
      <c r="G38" s="188">
        <f t="shared" si="0"/>
        <v>650</v>
      </c>
    </row>
    <row r="39" spans="1:7" x14ac:dyDescent="0.3">
      <c r="A39" s="181" t="s">
        <v>190</v>
      </c>
      <c r="B39" s="182" t="s">
        <v>57</v>
      </c>
      <c r="C39" s="187">
        <v>49</v>
      </c>
      <c r="D39" s="187">
        <v>0</v>
      </c>
      <c r="E39" s="187">
        <v>7</v>
      </c>
      <c r="F39" s="187">
        <v>0</v>
      </c>
      <c r="G39" s="188">
        <f t="shared" si="0"/>
        <v>56</v>
      </c>
    </row>
    <row r="40" spans="1:7" x14ac:dyDescent="0.3">
      <c r="A40" s="181" t="s">
        <v>16</v>
      </c>
      <c r="B40" s="182" t="s">
        <v>57</v>
      </c>
      <c r="C40" s="187">
        <v>1022</v>
      </c>
      <c r="D40" s="187">
        <v>4</v>
      </c>
      <c r="E40" s="187">
        <v>111</v>
      </c>
      <c r="F40" s="187">
        <v>0</v>
      </c>
      <c r="G40" s="188">
        <f t="shared" si="0"/>
        <v>1137</v>
      </c>
    </row>
    <row r="41" spans="1:7" x14ac:dyDescent="0.3">
      <c r="A41" s="181" t="s">
        <v>194</v>
      </c>
      <c r="B41" s="182" t="s">
        <v>57</v>
      </c>
      <c r="C41" s="187">
        <v>24</v>
      </c>
      <c r="D41" s="187">
        <v>0</v>
      </c>
      <c r="E41" s="187">
        <v>0</v>
      </c>
      <c r="F41" s="187">
        <v>0</v>
      </c>
      <c r="G41" s="188">
        <f t="shared" si="0"/>
        <v>24</v>
      </c>
    </row>
    <row r="42" spans="1:7" x14ac:dyDescent="0.3">
      <c r="A42" s="181" t="s">
        <v>17</v>
      </c>
      <c r="B42" s="182" t="s">
        <v>57</v>
      </c>
      <c r="C42" s="187">
        <v>2561</v>
      </c>
      <c r="D42" s="187">
        <v>0</v>
      </c>
      <c r="E42" s="187">
        <v>213</v>
      </c>
      <c r="F42" s="187">
        <v>7</v>
      </c>
      <c r="G42" s="188">
        <f t="shared" si="0"/>
        <v>2781</v>
      </c>
    </row>
    <row r="43" spans="1:7" x14ac:dyDescent="0.3">
      <c r="A43" s="181" t="s">
        <v>24</v>
      </c>
      <c r="B43" s="182" t="s">
        <v>57</v>
      </c>
      <c r="C43" s="187">
        <v>7585</v>
      </c>
      <c r="D43" s="187">
        <v>136</v>
      </c>
      <c r="E43" s="187">
        <v>492</v>
      </c>
      <c r="F43" s="187">
        <v>5</v>
      </c>
      <c r="G43" s="188">
        <f t="shared" si="0"/>
        <v>8218</v>
      </c>
    </row>
    <row r="44" spans="1:7" x14ac:dyDescent="0.3">
      <c r="A44" s="181" t="s">
        <v>25</v>
      </c>
      <c r="B44" s="182" t="s">
        <v>57</v>
      </c>
      <c r="C44" s="187">
        <v>83</v>
      </c>
      <c r="D44" s="187">
        <v>0</v>
      </c>
      <c r="E44" s="187">
        <v>42</v>
      </c>
      <c r="F44" s="187">
        <v>0</v>
      </c>
      <c r="G44" s="188">
        <f t="shared" si="0"/>
        <v>125</v>
      </c>
    </row>
    <row r="45" spans="1:7" x14ac:dyDescent="0.3">
      <c r="A45" s="181" t="s">
        <v>28</v>
      </c>
      <c r="B45" s="182" t="s">
        <v>57</v>
      </c>
      <c r="C45" s="187">
        <v>22</v>
      </c>
      <c r="D45" s="187">
        <v>0</v>
      </c>
      <c r="E45" s="187">
        <v>5</v>
      </c>
      <c r="F45" s="187">
        <v>0</v>
      </c>
      <c r="G45" s="188">
        <f t="shared" si="0"/>
        <v>27</v>
      </c>
    </row>
    <row r="46" spans="1:7" x14ac:dyDescent="0.3">
      <c r="A46" s="181" t="s">
        <v>200</v>
      </c>
      <c r="B46" s="182" t="s">
        <v>57</v>
      </c>
      <c r="C46" s="187">
        <v>1006</v>
      </c>
      <c r="D46" s="187">
        <v>0</v>
      </c>
      <c r="E46" s="187">
        <v>81</v>
      </c>
      <c r="F46" s="187">
        <v>0</v>
      </c>
      <c r="G46" s="188">
        <f t="shared" si="0"/>
        <v>1087</v>
      </c>
    </row>
    <row r="47" spans="1:7" x14ac:dyDescent="0.3">
      <c r="A47" s="181" t="s">
        <v>30</v>
      </c>
      <c r="B47" s="182" t="s">
        <v>57</v>
      </c>
      <c r="C47" s="187">
        <v>769</v>
      </c>
      <c r="D47" s="187">
        <v>0</v>
      </c>
      <c r="E47" s="187">
        <v>196</v>
      </c>
      <c r="F47" s="187">
        <v>5</v>
      </c>
      <c r="G47" s="188">
        <f t="shared" si="0"/>
        <v>970</v>
      </c>
    </row>
    <row r="48" spans="1:7" x14ac:dyDescent="0.3">
      <c r="A48" s="181" t="s">
        <v>80</v>
      </c>
      <c r="B48" s="182" t="s">
        <v>57</v>
      </c>
      <c r="C48" s="187">
        <v>891</v>
      </c>
      <c r="D48" s="187">
        <v>0</v>
      </c>
      <c r="E48" s="187">
        <v>462</v>
      </c>
      <c r="F48" s="187">
        <v>68</v>
      </c>
      <c r="G48" s="188">
        <f t="shared" si="0"/>
        <v>1421</v>
      </c>
    </row>
    <row r="49" spans="1:7" x14ac:dyDescent="0.3">
      <c r="A49" s="181" t="s">
        <v>81</v>
      </c>
      <c r="B49" s="182" t="s">
        <v>57</v>
      </c>
      <c r="C49" s="187">
        <v>396</v>
      </c>
      <c r="D49" s="187">
        <v>0</v>
      </c>
      <c r="E49" s="187">
        <v>34</v>
      </c>
      <c r="F49" s="187">
        <v>4</v>
      </c>
      <c r="G49" s="188">
        <f t="shared" si="0"/>
        <v>434</v>
      </c>
    </row>
    <row r="50" spans="1:7" x14ac:dyDescent="0.3">
      <c r="A50" s="192"/>
      <c r="B50" s="192" t="s">
        <v>83</v>
      </c>
      <c r="C50" s="193">
        <f>SUM(C3:C49)</f>
        <v>72297</v>
      </c>
      <c r="D50" s="193">
        <f t="shared" ref="D50:G50" si="1">SUM(D3:D49)</f>
        <v>218</v>
      </c>
      <c r="E50" s="193">
        <f t="shared" si="1"/>
        <v>7815</v>
      </c>
      <c r="F50" s="193">
        <f t="shared" si="1"/>
        <v>703</v>
      </c>
      <c r="G50" s="193">
        <f t="shared" si="1"/>
        <v>81033</v>
      </c>
    </row>
  </sheetData>
  <phoneticPr fontId="2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0FBCA-570D-40DF-A4C9-243D1273AA3E}">
  <dimension ref="A1:H50"/>
  <sheetViews>
    <sheetView zoomScale="85" zoomScaleNormal="85" workbookViewId="0">
      <selection activeCell="A2" sqref="A2"/>
    </sheetView>
  </sheetViews>
  <sheetFormatPr defaultRowHeight="15.6" x14ac:dyDescent="0.3"/>
  <cols>
    <col min="1" max="1" width="70.25" style="180" bestFit="1" customWidth="1"/>
    <col min="2" max="2" width="35.5" style="180" bestFit="1" customWidth="1"/>
    <col min="3" max="7" width="17.5" style="189" customWidth="1"/>
    <col min="8" max="8" width="17.5" style="43" customWidth="1"/>
    <col min="9" max="16384" width="9" style="3"/>
  </cols>
  <sheetData>
    <row r="1" spans="1:8" ht="18" x14ac:dyDescent="0.3">
      <c r="A1" s="183" t="s">
        <v>212</v>
      </c>
      <c r="B1" s="179"/>
      <c r="C1" s="186"/>
      <c r="D1" s="186"/>
      <c r="E1" s="186"/>
      <c r="F1" s="186"/>
      <c r="G1" s="186"/>
    </row>
    <row r="2" spans="1:8" x14ac:dyDescent="0.3">
      <c r="A2" s="192" t="s">
        <v>207</v>
      </c>
      <c r="B2" s="192" t="s">
        <v>82</v>
      </c>
      <c r="C2" s="193" t="s">
        <v>92</v>
      </c>
      <c r="D2" s="193" t="s">
        <v>93</v>
      </c>
      <c r="E2" s="193" t="s">
        <v>94</v>
      </c>
      <c r="F2" s="193" t="s">
        <v>95</v>
      </c>
      <c r="G2" s="193" t="s">
        <v>96</v>
      </c>
      <c r="H2" s="193" t="s">
        <v>1</v>
      </c>
    </row>
    <row r="3" spans="1:8" x14ac:dyDescent="0.3">
      <c r="A3" s="181" t="s">
        <v>9</v>
      </c>
      <c r="B3" s="181" t="s">
        <v>55</v>
      </c>
      <c r="C3" s="187">
        <v>75</v>
      </c>
      <c r="D3" s="187">
        <v>124</v>
      </c>
      <c r="E3" s="187">
        <v>1247</v>
      </c>
      <c r="F3" s="187">
        <v>525</v>
      </c>
      <c r="G3" s="187">
        <v>11</v>
      </c>
      <c r="H3" s="194">
        <f>SUM(C3:G3)</f>
        <v>1982</v>
      </c>
    </row>
    <row r="4" spans="1:8" x14ac:dyDescent="0.3">
      <c r="A4" s="181" t="s">
        <v>170</v>
      </c>
      <c r="B4" s="181" t="s">
        <v>55</v>
      </c>
      <c r="C4" s="187">
        <v>0</v>
      </c>
      <c r="D4" s="187">
        <v>4</v>
      </c>
      <c r="E4" s="187">
        <v>225</v>
      </c>
      <c r="F4" s="187">
        <v>195</v>
      </c>
      <c r="G4" s="187">
        <v>0</v>
      </c>
      <c r="H4" s="194">
        <f t="shared" ref="H4:H49" si="0">SUM(C4:G4)</f>
        <v>424</v>
      </c>
    </row>
    <row r="5" spans="1:8" x14ac:dyDescent="0.3">
      <c r="A5" s="181" t="s">
        <v>171</v>
      </c>
      <c r="B5" s="181" t="s">
        <v>55</v>
      </c>
      <c r="C5" s="187">
        <v>59</v>
      </c>
      <c r="D5" s="187">
        <v>33</v>
      </c>
      <c r="E5" s="187">
        <v>555</v>
      </c>
      <c r="F5" s="187">
        <v>701</v>
      </c>
      <c r="G5" s="187">
        <v>46</v>
      </c>
      <c r="H5" s="194">
        <f t="shared" si="0"/>
        <v>1394</v>
      </c>
    </row>
    <row r="6" spans="1:8" x14ac:dyDescent="0.3">
      <c r="A6" s="181" t="s">
        <v>11</v>
      </c>
      <c r="B6" s="181" t="s">
        <v>55</v>
      </c>
      <c r="C6" s="187">
        <v>262</v>
      </c>
      <c r="D6" s="187">
        <v>145</v>
      </c>
      <c r="E6" s="187">
        <v>2069</v>
      </c>
      <c r="F6" s="187">
        <v>1937</v>
      </c>
      <c r="G6" s="187">
        <v>101</v>
      </c>
      <c r="H6" s="194">
        <f t="shared" si="0"/>
        <v>4514</v>
      </c>
    </row>
    <row r="7" spans="1:8" x14ac:dyDescent="0.3">
      <c r="A7" s="181" t="s">
        <v>12</v>
      </c>
      <c r="B7" s="181" t="s">
        <v>55</v>
      </c>
      <c r="C7" s="187">
        <v>8</v>
      </c>
      <c r="D7" s="187">
        <v>0</v>
      </c>
      <c r="E7" s="187">
        <v>6</v>
      </c>
      <c r="F7" s="187">
        <v>2</v>
      </c>
      <c r="G7" s="187">
        <v>0</v>
      </c>
      <c r="H7" s="194">
        <f t="shared" si="0"/>
        <v>16</v>
      </c>
    </row>
    <row r="8" spans="1:8" x14ac:dyDescent="0.3">
      <c r="A8" s="181" t="s">
        <v>209</v>
      </c>
      <c r="B8" s="181" t="s">
        <v>55</v>
      </c>
      <c r="C8" s="187">
        <v>83</v>
      </c>
      <c r="D8" s="187">
        <v>24</v>
      </c>
      <c r="E8" s="187">
        <v>620</v>
      </c>
      <c r="F8" s="187">
        <v>474</v>
      </c>
      <c r="G8" s="187">
        <v>7</v>
      </c>
      <c r="H8" s="194">
        <f t="shared" si="0"/>
        <v>1208</v>
      </c>
    </row>
    <row r="9" spans="1:8" x14ac:dyDescent="0.3">
      <c r="A9" s="181" t="s">
        <v>208</v>
      </c>
      <c r="B9" s="181" t="s">
        <v>55</v>
      </c>
      <c r="C9" s="187">
        <v>1983</v>
      </c>
      <c r="D9" s="187">
        <v>257</v>
      </c>
      <c r="E9" s="187">
        <v>2045</v>
      </c>
      <c r="F9" s="187">
        <v>1770</v>
      </c>
      <c r="G9" s="187">
        <v>219</v>
      </c>
      <c r="H9" s="194">
        <f t="shared" si="0"/>
        <v>6274</v>
      </c>
    </row>
    <row r="10" spans="1:8" x14ac:dyDescent="0.3">
      <c r="A10" s="181" t="s">
        <v>18</v>
      </c>
      <c r="B10" s="181" t="s">
        <v>55</v>
      </c>
      <c r="C10" s="187">
        <v>1057</v>
      </c>
      <c r="D10" s="187">
        <v>93</v>
      </c>
      <c r="E10" s="187">
        <v>3227</v>
      </c>
      <c r="F10" s="187">
        <v>2886</v>
      </c>
      <c r="G10" s="187">
        <v>41</v>
      </c>
      <c r="H10" s="194">
        <f t="shared" si="0"/>
        <v>7304</v>
      </c>
    </row>
    <row r="11" spans="1:8" x14ac:dyDescent="0.3">
      <c r="A11" s="181" t="s">
        <v>19</v>
      </c>
      <c r="B11" s="181" t="s">
        <v>55</v>
      </c>
      <c r="C11" s="187">
        <v>15</v>
      </c>
      <c r="D11" s="187">
        <v>11</v>
      </c>
      <c r="E11" s="187">
        <v>556</v>
      </c>
      <c r="F11" s="187">
        <v>307</v>
      </c>
      <c r="G11" s="187">
        <v>2</v>
      </c>
      <c r="H11" s="194">
        <f t="shared" si="0"/>
        <v>891</v>
      </c>
    </row>
    <row r="12" spans="1:8" x14ac:dyDescent="0.3">
      <c r="A12" s="181" t="s">
        <v>20</v>
      </c>
      <c r="B12" s="181" t="s">
        <v>55</v>
      </c>
      <c r="C12" s="187">
        <v>3</v>
      </c>
      <c r="D12" s="187">
        <v>17</v>
      </c>
      <c r="E12" s="187">
        <v>191</v>
      </c>
      <c r="F12" s="187">
        <v>62</v>
      </c>
      <c r="G12" s="187">
        <v>3</v>
      </c>
      <c r="H12" s="194">
        <f t="shared" si="0"/>
        <v>276</v>
      </c>
    </row>
    <row r="13" spans="1:8" x14ac:dyDescent="0.3">
      <c r="A13" s="181" t="s">
        <v>21</v>
      </c>
      <c r="B13" s="181" t="s">
        <v>55</v>
      </c>
      <c r="C13" s="187">
        <v>204</v>
      </c>
      <c r="D13" s="187">
        <v>43</v>
      </c>
      <c r="E13" s="187">
        <v>2458</v>
      </c>
      <c r="F13" s="187">
        <v>775</v>
      </c>
      <c r="G13" s="187">
        <v>3</v>
      </c>
      <c r="H13" s="194">
        <f t="shared" si="0"/>
        <v>3483</v>
      </c>
    </row>
    <row r="14" spans="1:8" x14ac:dyDescent="0.3">
      <c r="A14" s="181" t="s">
        <v>22</v>
      </c>
      <c r="B14" s="181" t="s">
        <v>55</v>
      </c>
      <c r="C14" s="187">
        <v>27</v>
      </c>
      <c r="D14" s="187">
        <v>48</v>
      </c>
      <c r="E14" s="187">
        <v>1129</v>
      </c>
      <c r="F14" s="187">
        <v>448</v>
      </c>
      <c r="G14" s="187">
        <v>8</v>
      </c>
      <c r="H14" s="194">
        <f t="shared" si="0"/>
        <v>1660</v>
      </c>
    </row>
    <row r="15" spans="1:8" x14ac:dyDescent="0.3">
      <c r="A15" s="181" t="s">
        <v>172</v>
      </c>
      <c r="B15" s="181" t="s">
        <v>55</v>
      </c>
      <c r="C15" s="187">
        <v>19</v>
      </c>
      <c r="D15" s="187">
        <v>31</v>
      </c>
      <c r="E15" s="187">
        <v>813</v>
      </c>
      <c r="F15" s="187">
        <v>336</v>
      </c>
      <c r="G15" s="187">
        <v>0</v>
      </c>
      <c r="H15" s="194">
        <f t="shared" si="0"/>
        <v>1199</v>
      </c>
    </row>
    <row r="16" spans="1:8" x14ac:dyDescent="0.3">
      <c r="A16" s="181" t="s">
        <v>173</v>
      </c>
      <c r="B16" s="181" t="s">
        <v>55</v>
      </c>
      <c r="C16" s="187">
        <v>5</v>
      </c>
      <c r="D16" s="187">
        <v>10</v>
      </c>
      <c r="E16" s="187">
        <v>183</v>
      </c>
      <c r="F16" s="187">
        <v>107</v>
      </c>
      <c r="G16" s="187">
        <v>0</v>
      </c>
      <c r="H16" s="194">
        <f t="shared" si="0"/>
        <v>305</v>
      </c>
    </row>
    <row r="17" spans="1:8" x14ac:dyDescent="0.3">
      <c r="A17" s="181" t="s">
        <v>174</v>
      </c>
      <c r="B17" s="181" t="s">
        <v>55</v>
      </c>
      <c r="C17" s="187">
        <v>252</v>
      </c>
      <c r="D17" s="187">
        <v>63</v>
      </c>
      <c r="E17" s="187">
        <v>1738</v>
      </c>
      <c r="F17" s="187">
        <v>953</v>
      </c>
      <c r="G17" s="187">
        <v>23</v>
      </c>
      <c r="H17" s="194">
        <f t="shared" si="0"/>
        <v>3029</v>
      </c>
    </row>
    <row r="18" spans="1:8" x14ac:dyDescent="0.3">
      <c r="A18" s="180" t="s">
        <v>206</v>
      </c>
      <c r="B18" s="181" t="s">
        <v>55</v>
      </c>
      <c r="C18" s="187">
        <v>250</v>
      </c>
      <c r="D18" s="187">
        <v>164</v>
      </c>
      <c r="E18" s="187">
        <v>949</v>
      </c>
      <c r="F18" s="187">
        <v>1075</v>
      </c>
      <c r="G18" s="187">
        <v>38</v>
      </c>
      <c r="H18" s="194">
        <f t="shared" si="0"/>
        <v>2476</v>
      </c>
    </row>
    <row r="19" spans="1:8" x14ac:dyDescent="0.3">
      <c r="A19" s="181" t="s">
        <v>175</v>
      </c>
      <c r="B19" s="181" t="s">
        <v>55</v>
      </c>
      <c r="C19" s="187">
        <v>7</v>
      </c>
      <c r="D19" s="187">
        <v>42</v>
      </c>
      <c r="E19" s="187">
        <v>436</v>
      </c>
      <c r="F19" s="187">
        <v>278</v>
      </c>
      <c r="G19" s="187">
        <v>6</v>
      </c>
      <c r="H19" s="194">
        <f t="shared" si="0"/>
        <v>769</v>
      </c>
    </row>
    <row r="20" spans="1:8" x14ac:dyDescent="0.3">
      <c r="A20" s="181" t="s">
        <v>176</v>
      </c>
      <c r="B20" s="181" t="s">
        <v>55</v>
      </c>
      <c r="C20" s="187">
        <v>36</v>
      </c>
      <c r="D20" s="187">
        <v>59</v>
      </c>
      <c r="E20" s="187">
        <v>1962</v>
      </c>
      <c r="F20" s="187">
        <v>648</v>
      </c>
      <c r="G20" s="187">
        <v>1</v>
      </c>
      <c r="H20" s="194">
        <f t="shared" si="0"/>
        <v>2706</v>
      </c>
    </row>
    <row r="21" spans="1:8" x14ac:dyDescent="0.3">
      <c r="A21" s="181" t="s">
        <v>177</v>
      </c>
      <c r="B21" s="181" t="s">
        <v>55</v>
      </c>
      <c r="C21" s="187">
        <v>0</v>
      </c>
      <c r="D21" s="187">
        <v>16</v>
      </c>
      <c r="E21" s="187">
        <v>326</v>
      </c>
      <c r="F21" s="187">
        <v>293</v>
      </c>
      <c r="G21" s="187">
        <v>15</v>
      </c>
      <c r="H21" s="194">
        <f t="shared" si="0"/>
        <v>650</v>
      </c>
    </row>
    <row r="22" spans="1:8" x14ac:dyDescent="0.3">
      <c r="A22" s="181" t="s">
        <v>178</v>
      </c>
      <c r="B22" s="181" t="s">
        <v>55</v>
      </c>
      <c r="C22" s="187">
        <v>7</v>
      </c>
      <c r="D22" s="187">
        <v>7</v>
      </c>
      <c r="E22" s="187">
        <v>158</v>
      </c>
      <c r="F22" s="187">
        <v>77</v>
      </c>
      <c r="G22" s="187">
        <v>0</v>
      </c>
      <c r="H22" s="194">
        <f t="shared" si="0"/>
        <v>249</v>
      </c>
    </row>
    <row r="23" spans="1:8" x14ac:dyDescent="0.3">
      <c r="A23" s="181" t="s">
        <v>26</v>
      </c>
      <c r="B23" s="181" t="s">
        <v>55</v>
      </c>
      <c r="C23" s="187">
        <v>79</v>
      </c>
      <c r="D23" s="187">
        <v>9</v>
      </c>
      <c r="E23" s="187">
        <v>428</v>
      </c>
      <c r="F23" s="187">
        <v>306</v>
      </c>
      <c r="G23" s="187">
        <v>11</v>
      </c>
      <c r="H23" s="194">
        <f t="shared" si="0"/>
        <v>833</v>
      </c>
    </row>
    <row r="24" spans="1:8" x14ac:dyDescent="0.3">
      <c r="A24" s="181" t="s">
        <v>27</v>
      </c>
      <c r="B24" s="181" t="s">
        <v>55</v>
      </c>
      <c r="C24" s="187">
        <v>11</v>
      </c>
      <c r="D24" s="187">
        <v>32</v>
      </c>
      <c r="E24" s="187">
        <v>664</v>
      </c>
      <c r="F24" s="187">
        <v>226</v>
      </c>
      <c r="G24" s="187">
        <v>0</v>
      </c>
      <c r="H24" s="194">
        <f t="shared" si="0"/>
        <v>933</v>
      </c>
    </row>
    <row r="25" spans="1:8" x14ac:dyDescent="0.3">
      <c r="A25" s="181" t="s">
        <v>29</v>
      </c>
      <c r="B25" s="181" t="s">
        <v>55</v>
      </c>
      <c r="C25" s="187">
        <v>30</v>
      </c>
      <c r="D25" s="187">
        <v>39</v>
      </c>
      <c r="E25" s="187">
        <v>654</v>
      </c>
      <c r="F25" s="187">
        <v>333</v>
      </c>
      <c r="G25" s="187">
        <v>7</v>
      </c>
      <c r="H25" s="194">
        <f t="shared" si="0"/>
        <v>1063</v>
      </c>
    </row>
    <row r="26" spans="1:8" x14ac:dyDescent="0.3">
      <c r="A26" s="181" t="s">
        <v>33</v>
      </c>
      <c r="B26" s="181" t="s">
        <v>55</v>
      </c>
      <c r="C26" s="187">
        <v>0</v>
      </c>
      <c r="D26" s="187">
        <v>56</v>
      </c>
      <c r="E26" s="187">
        <v>767</v>
      </c>
      <c r="F26" s="187">
        <v>582</v>
      </c>
      <c r="G26" s="187">
        <v>18</v>
      </c>
      <c r="H26" s="194">
        <f t="shared" si="0"/>
        <v>1423</v>
      </c>
    </row>
    <row r="27" spans="1:8" x14ac:dyDescent="0.3">
      <c r="A27" s="181" t="s">
        <v>179</v>
      </c>
      <c r="B27" s="181" t="s">
        <v>55</v>
      </c>
      <c r="C27" s="187">
        <v>14</v>
      </c>
      <c r="D27" s="187">
        <v>23</v>
      </c>
      <c r="E27" s="187">
        <v>475</v>
      </c>
      <c r="F27" s="187">
        <v>547</v>
      </c>
      <c r="G27" s="187">
        <v>31</v>
      </c>
      <c r="H27" s="194">
        <f t="shared" si="0"/>
        <v>1090</v>
      </c>
    </row>
    <row r="28" spans="1:8" x14ac:dyDescent="0.3">
      <c r="A28" s="181" t="s">
        <v>35</v>
      </c>
      <c r="B28" s="181" t="s">
        <v>55</v>
      </c>
      <c r="C28" s="187">
        <v>66</v>
      </c>
      <c r="D28" s="187">
        <v>64</v>
      </c>
      <c r="E28" s="187">
        <v>2163</v>
      </c>
      <c r="F28" s="187">
        <v>1277</v>
      </c>
      <c r="G28" s="187">
        <v>16</v>
      </c>
      <c r="H28" s="194">
        <f t="shared" si="0"/>
        <v>3586</v>
      </c>
    </row>
    <row r="29" spans="1:8" x14ac:dyDescent="0.3">
      <c r="A29" s="181" t="s">
        <v>36</v>
      </c>
      <c r="B29" s="181" t="s">
        <v>55</v>
      </c>
      <c r="C29" s="187">
        <v>11</v>
      </c>
      <c r="D29" s="187">
        <v>6</v>
      </c>
      <c r="E29" s="187">
        <v>113</v>
      </c>
      <c r="F29" s="187">
        <v>117</v>
      </c>
      <c r="G29" s="187">
        <v>17</v>
      </c>
      <c r="H29" s="194">
        <f t="shared" si="0"/>
        <v>264</v>
      </c>
    </row>
    <row r="30" spans="1:8" x14ac:dyDescent="0.3">
      <c r="A30" s="181" t="s">
        <v>37</v>
      </c>
      <c r="B30" s="181" t="s">
        <v>55</v>
      </c>
      <c r="C30" s="187">
        <v>60</v>
      </c>
      <c r="D30" s="187">
        <v>34</v>
      </c>
      <c r="E30" s="187">
        <v>830</v>
      </c>
      <c r="F30" s="187">
        <v>567</v>
      </c>
      <c r="G30" s="187">
        <v>4</v>
      </c>
      <c r="H30" s="194">
        <f t="shared" si="0"/>
        <v>1495</v>
      </c>
    </row>
    <row r="31" spans="1:8" x14ac:dyDescent="0.3">
      <c r="A31" s="181" t="s">
        <v>38</v>
      </c>
      <c r="B31" s="181" t="s">
        <v>55</v>
      </c>
      <c r="C31" s="187">
        <v>2811</v>
      </c>
      <c r="D31" s="187">
        <v>445</v>
      </c>
      <c r="E31" s="187">
        <v>3492</v>
      </c>
      <c r="F31" s="187">
        <v>1776</v>
      </c>
      <c r="G31" s="187">
        <v>261</v>
      </c>
      <c r="H31" s="194">
        <f t="shared" si="0"/>
        <v>8785</v>
      </c>
    </row>
    <row r="32" spans="1:8" x14ac:dyDescent="0.3">
      <c r="A32" s="181" t="s">
        <v>181</v>
      </c>
      <c r="B32" s="181" t="s">
        <v>57</v>
      </c>
      <c r="C32" s="187">
        <v>67</v>
      </c>
      <c r="D32" s="187">
        <v>0</v>
      </c>
      <c r="E32" s="187">
        <v>0</v>
      </c>
      <c r="F32" s="187">
        <v>0</v>
      </c>
      <c r="G32" s="188">
        <v>0</v>
      </c>
      <c r="H32" s="194">
        <f t="shared" si="0"/>
        <v>67</v>
      </c>
    </row>
    <row r="33" spans="1:8" x14ac:dyDescent="0.3">
      <c r="A33" s="181" t="s">
        <v>6</v>
      </c>
      <c r="B33" s="181" t="s">
        <v>57</v>
      </c>
      <c r="C33" s="187">
        <v>92</v>
      </c>
      <c r="D33" s="187">
        <v>43</v>
      </c>
      <c r="E33" s="187">
        <v>118</v>
      </c>
      <c r="F33" s="187">
        <v>25</v>
      </c>
      <c r="G33" s="189">
        <v>2</v>
      </c>
      <c r="H33" s="194">
        <f t="shared" si="0"/>
        <v>280</v>
      </c>
    </row>
    <row r="34" spans="1:8" x14ac:dyDescent="0.3">
      <c r="A34" s="181" t="s">
        <v>7</v>
      </c>
      <c r="B34" s="181" t="s">
        <v>57</v>
      </c>
      <c r="C34" s="187">
        <v>272</v>
      </c>
      <c r="D34" s="187">
        <v>13</v>
      </c>
      <c r="E34" s="187">
        <v>423</v>
      </c>
      <c r="F34" s="187">
        <v>252</v>
      </c>
      <c r="G34" s="189">
        <v>8</v>
      </c>
      <c r="H34" s="194">
        <f t="shared" si="0"/>
        <v>968</v>
      </c>
    </row>
    <row r="35" spans="1:8" x14ac:dyDescent="0.3">
      <c r="A35" s="181" t="s">
        <v>8</v>
      </c>
      <c r="B35" s="181" t="s">
        <v>57</v>
      </c>
      <c r="C35" s="187">
        <v>311</v>
      </c>
      <c r="D35" s="187">
        <v>107</v>
      </c>
      <c r="E35" s="187">
        <v>517</v>
      </c>
      <c r="F35" s="187">
        <v>287</v>
      </c>
      <c r="G35" s="189">
        <v>19</v>
      </c>
      <c r="H35" s="194">
        <f t="shared" si="0"/>
        <v>1241</v>
      </c>
    </row>
    <row r="36" spans="1:8" x14ac:dyDescent="0.3">
      <c r="A36" s="181" t="s">
        <v>10</v>
      </c>
      <c r="B36" s="181" t="s">
        <v>57</v>
      </c>
      <c r="C36" s="187">
        <v>220</v>
      </c>
      <c r="D36" s="187">
        <v>21</v>
      </c>
      <c r="E36" s="187">
        <v>113</v>
      </c>
      <c r="F36" s="187">
        <v>512</v>
      </c>
      <c r="G36" s="189">
        <v>68</v>
      </c>
      <c r="H36" s="194">
        <f t="shared" si="0"/>
        <v>934</v>
      </c>
    </row>
    <row r="37" spans="1:8" x14ac:dyDescent="0.3">
      <c r="A37" s="181" t="s">
        <v>187</v>
      </c>
      <c r="B37" s="181" t="s">
        <v>57</v>
      </c>
      <c r="C37" s="187">
        <v>134</v>
      </c>
      <c r="D37" s="187">
        <v>18</v>
      </c>
      <c r="E37" s="187">
        <v>166</v>
      </c>
      <c r="F37" s="187">
        <v>14</v>
      </c>
      <c r="G37" s="189">
        <v>0</v>
      </c>
      <c r="H37" s="194">
        <f t="shared" si="0"/>
        <v>332</v>
      </c>
    </row>
    <row r="38" spans="1:8" x14ac:dyDescent="0.3">
      <c r="A38" s="181" t="s">
        <v>14</v>
      </c>
      <c r="B38" s="181" t="s">
        <v>57</v>
      </c>
      <c r="C38" s="187">
        <v>27</v>
      </c>
      <c r="D38" s="187">
        <v>41</v>
      </c>
      <c r="E38" s="187">
        <v>291</v>
      </c>
      <c r="F38" s="187">
        <v>283</v>
      </c>
      <c r="G38" s="189">
        <v>8</v>
      </c>
      <c r="H38" s="194">
        <f t="shared" si="0"/>
        <v>650</v>
      </c>
    </row>
    <row r="39" spans="1:8" x14ac:dyDescent="0.3">
      <c r="A39" s="181" t="s">
        <v>191</v>
      </c>
      <c r="B39" s="181" t="s">
        <v>57</v>
      </c>
      <c r="C39" s="187">
        <v>7</v>
      </c>
      <c r="D39" s="187">
        <v>7</v>
      </c>
      <c r="E39" s="187">
        <v>22</v>
      </c>
      <c r="F39" s="187">
        <v>19</v>
      </c>
      <c r="G39" s="189">
        <v>1</v>
      </c>
      <c r="H39" s="194">
        <f t="shared" si="0"/>
        <v>56</v>
      </c>
    </row>
    <row r="40" spans="1:8" x14ac:dyDescent="0.3">
      <c r="A40" s="181" t="s">
        <v>16</v>
      </c>
      <c r="B40" s="181" t="s">
        <v>57</v>
      </c>
      <c r="C40" s="187">
        <v>115</v>
      </c>
      <c r="D40" s="187">
        <v>90</v>
      </c>
      <c r="E40" s="187">
        <v>661</v>
      </c>
      <c r="F40" s="187">
        <v>271</v>
      </c>
      <c r="G40" s="189">
        <v>0</v>
      </c>
      <c r="H40" s="194">
        <f t="shared" si="0"/>
        <v>1137</v>
      </c>
    </row>
    <row r="41" spans="1:8" x14ac:dyDescent="0.3">
      <c r="A41" s="181" t="s">
        <v>194</v>
      </c>
      <c r="B41" s="181" t="s">
        <v>57</v>
      </c>
      <c r="C41" s="187">
        <v>0</v>
      </c>
      <c r="D41" s="187">
        <v>0</v>
      </c>
      <c r="E41" s="187">
        <v>24</v>
      </c>
      <c r="F41" s="187">
        <v>0</v>
      </c>
      <c r="G41" s="189">
        <v>0</v>
      </c>
      <c r="H41" s="194">
        <f t="shared" si="0"/>
        <v>24</v>
      </c>
    </row>
    <row r="42" spans="1:8" x14ac:dyDescent="0.3">
      <c r="A42" s="181" t="s">
        <v>17</v>
      </c>
      <c r="B42" s="181" t="s">
        <v>57</v>
      </c>
      <c r="C42" s="187">
        <v>796</v>
      </c>
      <c r="D42" s="187">
        <v>44</v>
      </c>
      <c r="E42" s="187">
        <v>1088</v>
      </c>
      <c r="F42" s="187">
        <v>700</v>
      </c>
      <c r="G42" s="189">
        <v>153</v>
      </c>
      <c r="H42" s="194">
        <f t="shared" si="0"/>
        <v>2781</v>
      </c>
    </row>
    <row r="43" spans="1:8" x14ac:dyDescent="0.3">
      <c r="A43" s="181" t="s">
        <v>24</v>
      </c>
      <c r="B43" s="181" t="s">
        <v>57</v>
      </c>
      <c r="C43" s="187">
        <v>1117</v>
      </c>
      <c r="D43" s="187">
        <v>143</v>
      </c>
      <c r="E43" s="187">
        <v>4652</v>
      </c>
      <c r="F43" s="187">
        <v>2283</v>
      </c>
      <c r="G43" s="189">
        <v>23</v>
      </c>
      <c r="H43" s="194">
        <f t="shared" si="0"/>
        <v>8218</v>
      </c>
    </row>
    <row r="44" spans="1:8" x14ac:dyDescent="0.3">
      <c r="A44" s="181" t="s">
        <v>25</v>
      </c>
      <c r="B44" s="181" t="s">
        <v>57</v>
      </c>
      <c r="C44" s="187">
        <v>42</v>
      </c>
      <c r="D44" s="187">
        <v>1</v>
      </c>
      <c r="E44" s="187">
        <v>34</v>
      </c>
      <c r="F44" s="187">
        <v>39</v>
      </c>
      <c r="G44" s="189">
        <v>9</v>
      </c>
      <c r="H44" s="194">
        <f t="shared" si="0"/>
        <v>125</v>
      </c>
    </row>
    <row r="45" spans="1:8" x14ac:dyDescent="0.3">
      <c r="A45" s="181" t="s">
        <v>28</v>
      </c>
      <c r="B45" s="181" t="s">
        <v>57</v>
      </c>
      <c r="C45" s="187">
        <v>5</v>
      </c>
      <c r="D45" s="187">
        <v>6</v>
      </c>
      <c r="E45" s="187">
        <v>11</v>
      </c>
      <c r="F45" s="187">
        <v>5</v>
      </c>
      <c r="G45" s="189">
        <v>0</v>
      </c>
      <c r="H45" s="194">
        <f t="shared" si="0"/>
        <v>27</v>
      </c>
    </row>
    <row r="46" spans="1:8" x14ac:dyDescent="0.3">
      <c r="A46" s="181" t="s">
        <v>200</v>
      </c>
      <c r="B46" s="181" t="s">
        <v>57</v>
      </c>
      <c r="C46" s="187">
        <v>81</v>
      </c>
      <c r="D46" s="187">
        <v>95</v>
      </c>
      <c r="E46" s="187">
        <v>583</v>
      </c>
      <c r="F46" s="187">
        <v>303</v>
      </c>
      <c r="G46" s="189">
        <v>25</v>
      </c>
      <c r="H46" s="194">
        <f t="shared" si="0"/>
        <v>1087</v>
      </c>
    </row>
    <row r="47" spans="1:8" x14ac:dyDescent="0.3">
      <c r="A47" s="181" t="s">
        <v>30</v>
      </c>
      <c r="B47" s="181" t="s">
        <v>57</v>
      </c>
      <c r="C47" s="187">
        <v>201</v>
      </c>
      <c r="D47" s="187">
        <v>71</v>
      </c>
      <c r="E47" s="187">
        <v>347</v>
      </c>
      <c r="F47" s="187">
        <v>340</v>
      </c>
      <c r="G47" s="189">
        <v>11</v>
      </c>
      <c r="H47" s="194">
        <f t="shared" si="0"/>
        <v>970</v>
      </c>
    </row>
    <row r="48" spans="1:8" x14ac:dyDescent="0.3">
      <c r="A48" s="181" t="s">
        <v>80</v>
      </c>
      <c r="B48" s="181" t="s">
        <v>57</v>
      </c>
      <c r="C48" s="187">
        <v>530</v>
      </c>
      <c r="D48" s="187">
        <v>57</v>
      </c>
      <c r="E48" s="187">
        <v>133</v>
      </c>
      <c r="F48" s="187">
        <v>701</v>
      </c>
      <c r="G48" s="189">
        <v>0</v>
      </c>
      <c r="H48" s="194">
        <f t="shared" si="0"/>
        <v>1421</v>
      </c>
    </row>
    <row r="49" spans="1:8" x14ac:dyDescent="0.3">
      <c r="A49" s="181" t="s">
        <v>81</v>
      </c>
      <c r="B49" s="181" t="s">
        <v>57</v>
      </c>
      <c r="C49" s="187">
        <v>38</v>
      </c>
      <c r="D49" s="187">
        <v>6</v>
      </c>
      <c r="E49" s="187">
        <v>120</v>
      </c>
      <c r="F49" s="187">
        <v>205</v>
      </c>
      <c r="G49" s="189">
        <v>65</v>
      </c>
      <c r="H49" s="194">
        <f t="shared" si="0"/>
        <v>434</v>
      </c>
    </row>
    <row r="50" spans="1:8" x14ac:dyDescent="0.3">
      <c r="A50" s="192"/>
      <c r="B50" s="192" t="s">
        <v>83</v>
      </c>
      <c r="C50" s="193">
        <f>SUM(C3:C49)</f>
        <v>11489</v>
      </c>
      <c r="D50" s="193">
        <f t="shared" ref="D50:H50" si="1">SUM(D3:D49)</f>
        <v>2662</v>
      </c>
      <c r="E50" s="193">
        <f t="shared" si="1"/>
        <v>39782</v>
      </c>
      <c r="F50" s="193">
        <f t="shared" si="1"/>
        <v>25819</v>
      </c>
      <c r="G50" s="193">
        <f t="shared" si="1"/>
        <v>1281</v>
      </c>
      <c r="H50" s="193">
        <f t="shared" si="1"/>
        <v>81033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Index</vt:lpstr>
      <vt:lpstr>#ofUni</vt:lpstr>
      <vt:lpstr>ProgramByClusterByCat</vt:lpstr>
      <vt:lpstr>EnrolByGenderByCatByLevel</vt:lpstr>
      <vt:lpstr>EnrolbySponsorship</vt:lpstr>
      <vt:lpstr>EnrolByClusterByCat</vt:lpstr>
      <vt:lpstr>GradbyYrByCatByGender</vt:lpstr>
      <vt:lpstr>GradbyGradeByGender</vt:lpstr>
      <vt:lpstr>GradByCatByDomainByGender</vt:lpstr>
      <vt:lpstr>GradByGender</vt:lpstr>
      <vt:lpstr>GradByAward</vt:lpstr>
      <vt:lpstr>GradByGrade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Ting-hsuan YEH</cp:lastModifiedBy>
  <dcterms:created xsi:type="dcterms:W3CDTF">2015-06-05T18:17:20Z</dcterms:created>
  <dcterms:modified xsi:type="dcterms:W3CDTF">2025-05-29T13:55:31Z</dcterms:modified>
</cp:coreProperties>
</file>