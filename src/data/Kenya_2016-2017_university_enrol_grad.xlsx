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yeh_connect_ust_hk/Documents/D_backup_1/tina2/AI_Learning/Omdena_EduTech/"/>
    </mc:Choice>
  </mc:AlternateContent>
  <xr:revisionPtr revIDLastSave="1747" documentId="11_F25DC773A252ABDACC104835C91E41EE5ADE58E7" xr6:coauthVersionLast="47" xr6:coauthVersionMax="47" xr10:uidLastSave="{7BE17EF0-A6B3-4075-9A54-674275F008CE}"/>
  <bookViews>
    <workbookView xWindow="-108" yWindow="-108" windowWidth="23256" windowHeight="12456" xr2:uid="{00000000-000D-0000-FFFF-FFFF00000000}"/>
  </bookViews>
  <sheets>
    <sheet name="No.OfProgram" sheetId="18" r:id="rId1"/>
    <sheet name="EnrolByAcademic" sheetId="19" r:id="rId2"/>
    <sheet name="GradByDegree" sheetId="20" r:id="rId3"/>
    <sheet name="GradByGender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22" l="1"/>
  <c r="J56" i="22"/>
  <c r="J55" i="22"/>
  <c r="J54" i="22"/>
  <c r="J53" i="22"/>
  <c r="J52" i="22"/>
  <c r="J51" i="22"/>
  <c r="E57" i="22"/>
  <c r="E56" i="22"/>
  <c r="E55" i="22"/>
  <c r="E54" i="22"/>
  <c r="E53" i="22"/>
  <c r="E52" i="22"/>
  <c r="E51" i="22"/>
  <c r="J50" i="22"/>
  <c r="J49" i="22"/>
  <c r="J48" i="22"/>
  <c r="J47" i="22"/>
  <c r="E48" i="22"/>
  <c r="E49" i="22"/>
  <c r="E50" i="22"/>
  <c r="E47" i="22"/>
  <c r="D74" i="19"/>
  <c r="E74" i="19"/>
  <c r="F74" i="19"/>
  <c r="G74" i="19"/>
  <c r="H74" i="19"/>
  <c r="I74" i="19"/>
  <c r="J74" i="19"/>
  <c r="C74" i="19"/>
  <c r="K5" i="19"/>
  <c r="K74" i="19" s="1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4" i="19"/>
  <c r="E72" i="18"/>
  <c r="F72" i="18"/>
  <c r="G72" i="18"/>
  <c r="H72" i="18"/>
  <c r="D72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3" i="18"/>
</calcChain>
</file>

<file path=xl/sharedStrings.xml><?xml version="1.0" encoding="utf-8"?>
<sst xmlns="http://schemas.openxmlformats.org/spreadsheetml/2006/main" count="639" uniqueCount="162">
  <si>
    <t>Total</t>
  </si>
  <si>
    <t>Total</t>
    <phoneticPr fontId="1" type="noConversion"/>
  </si>
  <si>
    <t>Bachelors</t>
  </si>
  <si>
    <t>Masters</t>
  </si>
  <si>
    <t>Doctorate</t>
  </si>
  <si>
    <t>Africa International University</t>
  </si>
  <si>
    <t>Africa Nazarene University</t>
  </si>
  <si>
    <t>Chuka University</t>
  </si>
  <si>
    <t>Daystar University</t>
  </si>
  <si>
    <t>Egerton University</t>
  </si>
  <si>
    <t>Hekima University College</t>
  </si>
  <si>
    <t>Kabarak University</t>
  </si>
  <si>
    <t>Karatina University</t>
  </si>
  <si>
    <t>KCA University</t>
  </si>
  <si>
    <t>Kenya Methodist University</t>
  </si>
  <si>
    <t>Kenyatta University</t>
  </si>
  <si>
    <t>Kibabii University</t>
  </si>
  <si>
    <t>Kirinyaga University</t>
  </si>
  <si>
    <t>Kisii University</t>
  </si>
  <si>
    <t>Laikipia University</t>
  </si>
  <si>
    <t>Marist International University College</t>
  </si>
  <si>
    <t>Mount Kenya University</t>
  </si>
  <si>
    <t>Pan Africa Christian University</t>
  </si>
  <si>
    <t>Pwani University</t>
  </si>
  <si>
    <t>Rongo University</t>
  </si>
  <si>
    <t>Scott Christian University</t>
  </si>
  <si>
    <t>South Eastern Kenya University</t>
  </si>
  <si>
    <t>Strathmore University</t>
  </si>
  <si>
    <t>Taita Taveta University</t>
  </si>
  <si>
    <t>Tangaza University College</t>
  </si>
  <si>
    <t>Technical University of Kenya</t>
  </si>
  <si>
    <t>University of Eldoret</t>
  </si>
  <si>
    <t>University of Embu</t>
  </si>
  <si>
    <t>University of Kabianga</t>
  </si>
  <si>
    <t>University of Nairobi</t>
  </si>
  <si>
    <t>Male</t>
  </si>
  <si>
    <t>Female</t>
  </si>
  <si>
    <t>Public Chartered Universities</t>
  </si>
  <si>
    <t>Public Constituent Colleges</t>
  </si>
  <si>
    <t>Private Chartered Universities</t>
  </si>
  <si>
    <t>Private Constituent Colleges</t>
  </si>
  <si>
    <t>Postgraduate Diploma</t>
  </si>
  <si>
    <t>Kaimosi Friends University College</t>
  </si>
  <si>
    <t>Tom Mboya University College</t>
  </si>
  <si>
    <t>United States International University</t>
  </si>
  <si>
    <t>University of Eastern Africa, Baraton</t>
  </si>
  <si>
    <t>Category</t>
    <phoneticPr fontId="1" type="noConversion"/>
  </si>
  <si>
    <t>Grand Total</t>
    <phoneticPr fontId="1" type="noConversion"/>
  </si>
  <si>
    <t>Male</t>
    <phoneticPr fontId="1" type="noConversion"/>
  </si>
  <si>
    <t>Cluster</t>
    <phoneticPr fontId="1" type="noConversion"/>
  </si>
  <si>
    <r>
      <rPr>
        <sz val="11"/>
        <rFont val="Calibri"/>
        <family val="2"/>
      </rPr>
      <t>Jaramogi Oginga Odinga University of
Science and Technology</t>
    </r>
  </si>
  <si>
    <t>The Cooperative University of Kenya</t>
  </si>
  <si>
    <t>Dedan Kimathi University of Technology</t>
  </si>
  <si>
    <t>Maasai Mara University</t>
  </si>
  <si>
    <t>Machakos University</t>
  </si>
  <si>
    <t>Maseno University</t>
  </si>
  <si>
    <t>Meru University of Science &amp; Technology</t>
  </si>
  <si>
    <t>Moi University</t>
  </si>
  <si>
    <t>Murang'a University of Technology</t>
  </si>
  <si>
    <t>Technical University of Mombasa</t>
  </si>
  <si>
    <t>Adventist University</t>
  </si>
  <si>
    <t>Great Lakes University of Kisumu</t>
  </si>
  <si>
    <t>Kenya Highlands Evangelical University</t>
  </si>
  <si>
    <t>St. Paul’s University</t>
  </si>
  <si>
    <t>University</t>
    <phoneticPr fontId="1" type="noConversion"/>
  </si>
  <si>
    <t>Jaramogi Oginga Odinga University of Science &amp; Technology</t>
    <phoneticPr fontId="1" type="noConversion"/>
  </si>
  <si>
    <t>Public Constituent University</t>
  </si>
  <si>
    <t xml:space="preserve"> Private Constituent Colleges</t>
  </si>
  <si>
    <t>Institutions with Letters of Interim Authority</t>
  </si>
  <si>
    <t>University</t>
  </si>
  <si>
    <t>Masinde   Muliro   University   of   Science   &amp; Technology</t>
  </si>
  <si>
    <t>Multimedia University of Kenya</t>
  </si>
  <si>
    <t>Rongo university</t>
  </si>
  <si>
    <t>Alupe University College</t>
  </si>
  <si>
    <t>Garissa University College</t>
  </si>
  <si>
    <r>
      <rPr>
        <sz val="11"/>
        <rFont val="Calibri"/>
        <family val="2"/>
      </rPr>
      <t>Catholic  University  of  Eastern
Africa</t>
    </r>
  </si>
  <si>
    <r>
      <rPr>
        <sz val="11"/>
        <rFont val="Calibri"/>
        <family val="2"/>
      </rPr>
      <t>Great     Lakes     University     of
Kisumu</t>
    </r>
  </si>
  <si>
    <t>KAG EAST University</t>
  </si>
  <si>
    <r>
      <rPr>
        <sz val="11"/>
        <rFont val="Calibri"/>
        <family val="2"/>
      </rPr>
      <t>Kenya   Highlands   Evangelical
University</t>
    </r>
  </si>
  <si>
    <t>St. Paul's University</t>
  </si>
  <si>
    <r>
      <rPr>
        <sz val="11"/>
        <rFont val="Calibri"/>
        <family val="2"/>
      </rPr>
      <t>United      States      International
University</t>
    </r>
  </si>
  <si>
    <r>
      <rPr>
        <sz val="11"/>
        <rFont val="Calibri"/>
        <family val="2"/>
      </rPr>
      <t>University   of   Eastern   Africa
Baraton</t>
    </r>
  </si>
  <si>
    <r>
      <rPr>
        <sz val="11"/>
        <rFont val="Calibri"/>
        <family val="2"/>
      </rPr>
      <t>Marist      International      University
College</t>
    </r>
  </si>
  <si>
    <t>Uzima University College</t>
  </si>
  <si>
    <t>Regina Pacis University College</t>
  </si>
  <si>
    <t>Aga Khan University</t>
  </si>
  <si>
    <t>GRETSA University</t>
  </si>
  <si>
    <t>International Leadership University</t>
  </si>
  <si>
    <t>Lukenya University</t>
  </si>
  <si>
    <t>Management University of Africa</t>
  </si>
  <si>
    <t>Pioneer International University</t>
  </si>
  <si>
    <t>Presbyterian University of East Africa</t>
  </si>
  <si>
    <t>Riara University</t>
  </si>
  <si>
    <t>The East African University</t>
  </si>
  <si>
    <t>Umma University</t>
  </si>
  <si>
    <t>Zetech University</t>
  </si>
  <si>
    <t>Jomo  Kenyatta  University  of  Agriculture  &amp; Technology</t>
    <phoneticPr fontId="1" type="noConversion"/>
  </si>
  <si>
    <t>Kaimosi Friends University College</t>
    <phoneticPr fontId="1" type="noConversion"/>
  </si>
  <si>
    <t>Kiriri  Women's University of Science and Technology</t>
    <phoneticPr fontId="1" type="noConversion"/>
  </si>
  <si>
    <t xml:space="preserve"> Institutions with LIA</t>
  </si>
  <si>
    <t>Name of University</t>
  </si>
  <si>
    <t>M</t>
  </si>
  <si>
    <t>F</t>
  </si>
  <si>
    <t>University  of Nairobi</t>
  </si>
  <si>
    <t>Murang’a University</t>
  </si>
  <si>
    <t>Turkana University College</t>
  </si>
  <si>
    <t>KAG East University</t>
  </si>
  <si>
    <t>Kiriri Women’s University of Science and Technology</t>
  </si>
  <si>
    <r>
      <rPr>
        <sz val="11"/>
        <rFont val="Calibri"/>
        <family val="2"/>
      </rPr>
      <t>Kenyatta
University</t>
    </r>
  </si>
  <si>
    <r>
      <rPr>
        <sz val="11"/>
        <rFont val="Calibri"/>
        <family val="2"/>
      </rPr>
      <t>Egerton
University</t>
    </r>
  </si>
  <si>
    <r>
      <rPr>
        <sz val="11"/>
        <rFont val="Calibri"/>
        <family val="2"/>
      </rPr>
      <t>Jomo  Kenyatta University of Agriculture And
Technology</t>
    </r>
  </si>
  <si>
    <r>
      <rPr>
        <sz val="11"/>
        <rFont val="Calibri"/>
        <family val="2"/>
      </rPr>
      <t>Dedan Kimathi
University of Technology</t>
    </r>
  </si>
  <si>
    <r>
      <rPr>
        <sz val="11"/>
        <rFont val="Calibri"/>
        <family val="2"/>
      </rPr>
      <t>Chuka
University</t>
    </r>
  </si>
  <si>
    <r>
      <rPr>
        <sz val="11"/>
        <rFont val="Calibri"/>
        <family val="2"/>
      </rPr>
      <t>Technical University of
Kenya</t>
    </r>
  </si>
  <si>
    <r>
      <rPr>
        <sz val="11"/>
        <rFont val="Calibri"/>
        <family val="2"/>
      </rPr>
      <t>Technical University of
Mombasa</t>
    </r>
  </si>
  <si>
    <r>
      <rPr>
        <sz val="11"/>
        <rFont val="Calibri"/>
        <family val="2"/>
      </rPr>
      <t>Pwani
University</t>
    </r>
  </si>
  <si>
    <r>
      <rPr>
        <sz val="11"/>
        <rFont val="Calibri"/>
        <family val="2"/>
      </rPr>
      <t>Kisii
University</t>
    </r>
  </si>
  <si>
    <r>
      <rPr>
        <sz val="11"/>
        <rFont val="Calibri"/>
        <family val="2"/>
      </rPr>
      <t>Masinde Muliro University for
Science and Technology</t>
    </r>
  </si>
  <si>
    <r>
      <rPr>
        <sz val="11"/>
        <rFont val="Calibri"/>
        <family val="2"/>
      </rPr>
      <t>Maasai  Mara
University</t>
    </r>
  </si>
  <si>
    <r>
      <rPr>
        <sz val="11"/>
        <rFont val="Calibri"/>
        <family val="2"/>
      </rPr>
      <t>South Eastern Kenya
University</t>
    </r>
  </si>
  <si>
    <r>
      <rPr>
        <sz val="11"/>
        <rFont val="Calibri"/>
        <family val="2"/>
      </rPr>
      <t>Meru University of Science and
Technology</t>
    </r>
  </si>
  <si>
    <r>
      <rPr>
        <sz val="11"/>
        <rFont val="Calibri"/>
        <family val="2"/>
      </rPr>
      <t>Laikipia
University</t>
    </r>
  </si>
  <si>
    <r>
      <rPr>
        <sz val="11"/>
        <rFont val="Calibri"/>
        <family val="2"/>
      </rPr>
      <t>University  of
Eldoret</t>
    </r>
  </si>
  <si>
    <r>
      <rPr>
        <sz val="11"/>
        <rFont val="Calibri"/>
        <family val="2"/>
      </rPr>
      <t>Karatina
University</t>
    </r>
  </si>
  <si>
    <r>
      <rPr>
        <sz val="11"/>
        <rFont val="Calibri"/>
        <family val="2"/>
      </rPr>
      <t>Kibabii
University</t>
    </r>
  </si>
  <si>
    <r>
      <rPr>
        <sz val="11"/>
        <rFont val="Calibri"/>
        <family val="2"/>
      </rPr>
      <t>University of
Embu</t>
    </r>
  </si>
  <si>
    <r>
      <rPr>
        <sz val="11"/>
        <rFont val="Calibri"/>
        <family val="2"/>
      </rPr>
      <t>Kirinyaga
University</t>
    </r>
  </si>
  <si>
    <r>
      <rPr>
        <sz val="11"/>
        <rFont val="Calibri"/>
        <family val="2"/>
      </rPr>
      <t>Machakos
University</t>
    </r>
  </si>
  <si>
    <r>
      <rPr>
        <sz val="11"/>
        <rFont val="Calibri"/>
        <family val="2"/>
      </rPr>
      <t>Taita Taveta
University</t>
    </r>
  </si>
  <si>
    <r>
      <rPr>
        <sz val="11"/>
        <rFont val="Calibri"/>
        <family val="2"/>
      </rPr>
      <t>The Co- operative
University</t>
    </r>
  </si>
  <si>
    <r>
      <rPr>
        <sz val="11"/>
        <rFont val="Calibri"/>
        <family val="2"/>
      </rPr>
      <t>4
1</t>
    </r>
  </si>
  <si>
    <r>
      <rPr>
        <sz val="11"/>
        <rFont val="Calibri"/>
        <family val="2"/>
      </rPr>
      <t>2
3</t>
    </r>
  </si>
  <si>
    <r>
      <rPr>
        <sz val="11"/>
        <rFont val="Calibri"/>
        <family val="2"/>
      </rPr>
      <t>Marist International University
College</t>
    </r>
  </si>
  <si>
    <r>
      <rPr>
        <sz val="11"/>
        <rFont val="Calibri"/>
        <family val="2"/>
      </rPr>
      <t>Catholic University of
Eastern Africa</t>
    </r>
  </si>
  <si>
    <r>
      <rPr>
        <sz val="11"/>
        <rFont val="Calibri"/>
        <family val="2"/>
      </rPr>
      <t>Scott Christian
University</t>
    </r>
  </si>
  <si>
    <r>
      <rPr>
        <sz val="11"/>
        <rFont val="Calibri"/>
        <family val="2"/>
      </rPr>
      <t>Pan Africa Christian
University</t>
    </r>
  </si>
  <si>
    <r>
      <rPr>
        <sz val="11"/>
        <rFont val="Calibri"/>
        <family val="2"/>
      </rPr>
      <t>Africa International
University</t>
    </r>
  </si>
  <si>
    <r>
      <rPr>
        <sz val="11"/>
        <rFont val="Calibri"/>
        <family val="2"/>
      </rPr>
      <t>Kenya Highlands
Evangelical University</t>
    </r>
  </si>
  <si>
    <r>
      <rPr>
        <sz val="11"/>
        <rFont val="Calibri"/>
        <family val="2"/>
      </rPr>
      <t>Africa  Nazarene
University</t>
    </r>
  </si>
  <si>
    <r>
      <rPr>
        <sz val="11"/>
        <rFont val="Calibri"/>
        <family val="2"/>
      </rPr>
      <t>Kenya Methodist
University</t>
    </r>
  </si>
  <si>
    <r>
      <rPr>
        <sz val="11"/>
        <rFont val="Calibri"/>
        <family val="2"/>
      </rPr>
      <t>Adventist University of
Africa</t>
    </r>
  </si>
  <si>
    <t>Graduation by Gender in 2015 and 2016</t>
    <phoneticPr fontId="1" type="noConversion"/>
  </si>
  <si>
    <t>University and year of graduation</t>
  </si>
  <si>
    <t>Co-operative University of Kenya</t>
  </si>
  <si>
    <t>Jomo Kenyatta University of Science and Technology</t>
  </si>
  <si>
    <r>
      <rPr>
        <sz val="11"/>
        <rFont val="Calibri"/>
        <family val="2"/>
      </rPr>
      <t>Jaramogi Oginga Odinga University of Science and
Technology</t>
    </r>
  </si>
  <si>
    <t>Masinde Murilo University of Science and Technology</t>
  </si>
  <si>
    <t>Meru University of Science and Technology</t>
  </si>
  <si>
    <t>f</t>
  </si>
  <si>
    <t>University of Eastern Africa Baraton</t>
  </si>
  <si>
    <t>Aga  Khan University</t>
  </si>
  <si>
    <t>Universities with Letter of Interim Authority</t>
  </si>
  <si>
    <t>Kiriri Women's University of Science and Technology</t>
  </si>
  <si>
    <t>Public Chartered</t>
  </si>
  <si>
    <t>Jomo Kenyatta University of Science and Technology</t>
    <phoneticPr fontId="1" type="noConversion"/>
  </si>
  <si>
    <t>Jaramogi Oginga Odinga University of Science and Technology</t>
    <phoneticPr fontId="1" type="noConversion"/>
  </si>
  <si>
    <t>Masinde Murilo University of Science and Technology</t>
    <phoneticPr fontId="1" type="noConversion"/>
  </si>
  <si>
    <t>Meru University of Science and Technology</t>
    <phoneticPr fontId="1" type="noConversion"/>
  </si>
  <si>
    <t xml:space="preserve">Private Chartered Universities </t>
  </si>
  <si>
    <t>Graduation by Degree Award in 2015 and 2016</t>
    <phoneticPr fontId="1" type="noConversion"/>
  </si>
  <si>
    <t>Number of Programmes by Award Level (2016/2017)</t>
    <phoneticPr fontId="1" type="noConversion"/>
  </si>
  <si>
    <t>Enrolment by Gender and Academic Level (2016/2017)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</si>
</sst>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);[Red]\(#,##0\)"/>
  </numFmts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178" fontId="5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/>
    </xf>
    <xf numFmtId="1" fontId="7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5" fillId="2" borderId="0" xfId="0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3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 shrinkToFit="1"/>
    </xf>
    <xf numFmtId="178" fontId="2" fillId="0" borderId="3" xfId="0" applyNumberFormat="1" applyFont="1" applyBorder="1" applyAlignment="1">
      <alignment horizontal="center" vertical="center" shrinkToFit="1"/>
    </xf>
    <xf numFmtId="178" fontId="4" fillId="0" borderId="1" xfId="0" applyNumberFormat="1" applyFont="1" applyBorder="1" applyAlignment="1">
      <alignment horizontal="center" vertical="center"/>
    </xf>
    <xf numFmtId="0" fontId="10" fillId="2" borderId="0" xfId="0" applyFont="1" applyFill="1" applyAlignment="1"/>
    <xf numFmtId="0" fontId="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178" fontId="5" fillId="2" borderId="1" xfId="0" applyNumberFormat="1" applyFont="1" applyFill="1" applyBorder="1" applyAlignment="1">
      <alignment horizontal="center" vertical="center"/>
    </xf>
    <xf numFmtId="178" fontId="5" fillId="2" borderId="3" xfId="0" applyNumberFormat="1" applyFont="1" applyFill="1" applyBorder="1" applyAlignment="1">
      <alignment horizontal="center" vertical="center"/>
    </xf>
    <xf numFmtId="178" fontId="5" fillId="2" borderId="4" xfId="0" applyNumberFormat="1" applyFont="1" applyFill="1" applyBorder="1" applyAlignment="1">
      <alignment horizontal="center" vertical="center"/>
    </xf>
    <xf numFmtId="178" fontId="5" fillId="2" borderId="15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/>
    </xf>
    <xf numFmtId="1" fontId="2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top"/>
    </xf>
    <xf numFmtId="1" fontId="7" fillId="0" borderId="0" xfId="0" applyNumberFormat="1" applyFont="1" applyFill="1" applyBorder="1" applyAlignment="1">
      <alignment horizontal="center" vertical="center" shrinkToFit="1"/>
    </xf>
    <xf numFmtId="1" fontId="3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/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/>
    <xf numFmtId="1" fontId="5" fillId="2" borderId="7" xfId="0" applyNumberFormat="1" applyFont="1" applyFill="1" applyBorder="1" applyAlignment="1">
      <alignment horizontal="center" vertical="center" shrinkToFit="1"/>
    </xf>
    <xf numFmtId="1" fontId="5" fillId="2" borderId="8" xfId="0" applyNumberFormat="1" applyFont="1" applyFill="1" applyBorder="1" applyAlignment="1">
      <alignment horizontal="center" vertical="center" shrinkToFit="1"/>
    </xf>
    <xf numFmtId="1" fontId="5" fillId="2" borderId="9" xfId="0" applyNumberFormat="1" applyFont="1" applyFill="1" applyBorder="1" applyAlignment="1">
      <alignment horizontal="center" vertical="center" shrinkToFit="1"/>
    </xf>
    <xf numFmtId="0" fontId="5" fillId="2" borderId="10" xfId="0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 shrinkToFit="1"/>
    </xf>
    <xf numFmtId="1" fontId="2" fillId="0" borderId="12" xfId="0" applyNumberFormat="1" applyFont="1" applyFill="1" applyBorder="1" applyAlignment="1">
      <alignment horizontal="center" vertical="center" shrinkToFit="1"/>
    </xf>
    <xf numFmtId="1" fontId="2" fillId="0" borderId="13" xfId="0" applyNumberFormat="1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24</xdr:row>
      <xdr:rowOff>0</xdr:rowOff>
    </xdr:from>
    <xdr:ext cx="320040" cy="9525"/>
    <xdr:sp macro="" textlink="">
      <xdr:nvSpPr>
        <xdr:cNvPr id="2" name="Shape 30">
          <a:extLst>
            <a:ext uri="{FF2B5EF4-FFF2-40B4-BE49-F238E27FC236}">
              <a16:creationId xmlns:a16="http://schemas.microsoft.com/office/drawing/2014/main" id="{1006C955-45EB-4B96-B151-2C4B4CF05518}"/>
            </a:ext>
          </a:extLst>
        </xdr:cNvPr>
        <xdr:cNvSpPr/>
      </xdr:nvSpPr>
      <xdr:spPr>
        <a:xfrm>
          <a:off x="8343899" y="8410956"/>
          <a:ext cx="320040" cy="9525"/>
        </a:xfrm>
        <a:custGeom>
          <a:avLst/>
          <a:gdLst/>
          <a:ahLst/>
          <a:cxnLst/>
          <a:rect l="0" t="0" r="0" b="0"/>
          <a:pathLst>
            <a:path w="320040" h="9525">
              <a:moveTo>
                <a:pt x="320040" y="0"/>
              </a:moveTo>
              <a:lnTo>
                <a:pt x="0" y="0"/>
              </a:lnTo>
              <a:lnTo>
                <a:pt x="0" y="9144"/>
              </a:lnTo>
              <a:lnTo>
                <a:pt x="320040" y="9144"/>
              </a:lnTo>
              <a:lnTo>
                <a:pt x="320040" y="0"/>
              </a:lnTo>
              <a:close/>
            </a:path>
          </a:pathLst>
        </a:custGeom>
        <a:solidFill>
          <a:srgbClr val="A8D08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3F65-7677-4928-8BE4-385738860685}">
  <dimension ref="A1:H72"/>
  <sheetViews>
    <sheetView tabSelected="1" workbookViewId="0">
      <selection activeCell="A2" sqref="A2"/>
    </sheetView>
  </sheetViews>
  <sheetFormatPr defaultRowHeight="14.4" x14ac:dyDescent="0.3"/>
  <cols>
    <col min="1" max="1" width="9" style="3"/>
    <col min="2" max="2" width="56.75" style="3" bestFit="1" customWidth="1"/>
    <col min="3" max="3" width="56.75" style="3" customWidth="1"/>
    <col min="4" max="4" width="10.625" style="3" bestFit="1" customWidth="1"/>
    <col min="5" max="5" width="9" style="3" bestFit="1" customWidth="1"/>
    <col min="6" max="6" width="10.375" style="3" bestFit="1" customWidth="1"/>
    <col min="7" max="7" width="22.625" style="3" bestFit="1" customWidth="1"/>
    <col min="8" max="16384" width="9" style="3"/>
  </cols>
  <sheetData>
    <row r="1" spans="1:8" ht="15.6" customHeight="1" x14ac:dyDescent="0.3">
      <c r="A1" s="26" t="s">
        <v>160</v>
      </c>
      <c r="B1" s="7"/>
      <c r="C1" s="7"/>
      <c r="D1" s="7"/>
      <c r="E1" s="7"/>
      <c r="F1" s="7"/>
      <c r="G1" s="7"/>
    </row>
    <row r="2" spans="1:8" x14ac:dyDescent="0.3">
      <c r="A2" s="28"/>
      <c r="B2" s="29" t="s">
        <v>69</v>
      </c>
      <c r="C2" s="29" t="s">
        <v>49</v>
      </c>
      <c r="D2" s="29" t="s">
        <v>4</v>
      </c>
      <c r="E2" s="29" t="s">
        <v>3</v>
      </c>
      <c r="F2" s="29" t="s">
        <v>2</v>
      </c>
      <c r="G2" s="29" t="s">
        <v>41</v>
      </c>
      <c r="H2" s="5" t="s">
        <v>1</v>
      </c>
    </row>
    <row r="3" spans="1:8" x14ac:dyDescent="0.3">
      <c r="A3" s="12">
        <v>1</v>
      </c>
      <c r="B3" s="17" t="s">
        <v>7</v>
      </c>
      <c r="C3" s="17" t="s">
        <v>37</v>
      </c>
      <c r="D3" s="12">
        <v>16</v>
      </c>
      <c r="E3" s="12">
        <v>20</v>
      </c>
      <c r="F3" s="12">
        <v>36</v>
      </c>
      <c r="G3" s="12">
        <v>1</v>
      </c>
      <c r="H3" s="27">
        <f>SUM(D3:G3)</f>
        <v>73</v>
      </c>
    </row>
    <row r="4" spans="1:8" x14ac:dyDescent="0.3">
      <c r="A4" s="12">
        <v>2</v>
      </c>
      <c r="B4" s="17" t="s">
        <v>52</v>
      </c>
      <c r="C4" s="17" t="s">
        <v>37</v>
      </c>
      <c r="D4" s="12">
        <v>5</v>
      </c>
      <c r="E4" s="12">
        <v>10</v>
      </c>
      <c r="F4" s="12">
        <v>33</v>
      </c>
      <c r="G4" s="12">
        <v>0</v>
      </c>
      <c r="H4" s="27">
        <f t="shared" ref="H4:H67" si="0">SUM(D4:G4)</f>
        <v>48</v>
      </c>
    </row>
    <row r="5" spans="1:8" x14ac:dyDescent="0.3">
      <c r="A5" s="12">
        <v>3</v>
      </c>
      <c r="B5" s="17" t="s">
        <v>9</v>
      </c>
      <c r="C5" s="17" t="s">
        <v>37</v>
      </c>
      <c r="D5" s="12">
        <v>26</v>
      </c>
      <c r="E5" s="12">
        <v>56</v>
      </c>
      <c r="F5" s="12">
        <v>59</v>
      </c>
      <c r="G5" s="12">
        <v>3</v>
      </c>
      <c r="H5" s="27">
        <f t="shared" si="0"/>
        <v>144</v>
      </c>
    </row>
    <row r="6" spans="1:8" x14ac:dyDescent="0.3">
      <c r="A6" s="12">
        <v>4</v>
      </c>
      <c r="B6" s="17" t="s">
        <v>65</v>
      </c>
      <c r="C6" s="17" t="s">
        <v>37</v>
      </c>
      <c r="D6" s="12">
        <v>37</v>
      </c>
      <c r="E6" s="12">
        <v>31</v>
      </c>
      <c r="F6" s="12">
        <v>28</v>
      </c>
      <c r="G6" s="12">
        <v>0</v>
      </c>
      <c r="H6" s="27">
        <f t="shared" si="0"/>
        <v>96</v>
      </c>
    </row>
    <row r="7" spans="1:8" x14ac:dyDescent="0.3">
      <c r="A7" s="12">
        <v>5</v>
      </c>
      <c r="B7" s="17" t="s">
        <v>96</v>
      </c>
      <c r="C7" s="17" t="s">
        <v>37</v>
      </c>
      <c r="D7" s="12">
        <v>33</v>
      </c>
      <c r="E7" s="12">
        <v>98</v>
      </c>
      <c r="F7" s="12">
        <v>106</v>
      </c>
      <c r="G7" s="12">
        <v>4</v>
      </c>
      <c r="H7" s="27">
        <f t="shared" si="0"/>
        <v>241</v>
      </c>
    </row>
    <row r="8" spans="1:8" x14ac:dyDescent="0.3">
      <c r="A8" s="12">
        <v>6</v>
      </c>
      <c r="B8" s="17" t="s">
        <v>12</v>
      </c>
      <c r="C8" s="17" t="s">
        <v>37</v>
      </c>
      <c r="D8" s="12">
        <v>11</v>
      </c>
      <c r="E8" s="12">
        <v>35</v>
      </c>
      <c r="F8" s="12">
        <v>37</v>
      </c>
      <c r="G8" s="12">
        <v>2</v>
      </c>
      <c r="H8" s="27">
        <f t="shared" si="0"/>
        <v>85</v>
      </c>
    </row>
    <row r="9" spans="1:8" x14ac:dyDescent="0.3">
      <c r="A9" s="12">
        <v>7</v>
      </c>
      <c r="B9" s="17" t="s">
        <v>15</v>
      </c>
      <c r="C9" s="17" t="s">
        <v>37</v>
      </c>
      <c r="D9" s="12">
        <v>15</v>
      </c>
      <c r="E9" s="12">
        <v>99</v>
      </c>
      <c r="F9" s="12">
        <v>88</v>
      </c>
      <c r="G9" s="12">
        <v>3</v>
      </c>
      <c r="H9" s="27">
        <f t="shared" si="0"/>
        <v>205</v>
      </c>
    </row>
    <row r="10" spans="1:8" x14ac:dyDescent="0.3">
      <c r="A10" s="12">
        <v>8</v>
      </c>
      <c r="B10" s="17" t="s">
        <v>16</v>
      </c>
      <c r="C10" s="17" t="s">
        <v>37</v>
      </c>
      <c r="D10" s="12">
        <v>9</v>
      </c>
      <c r="E10" s="12">
        <v>17</v>
      </c>
      <c r="F10" s="12">
        <v>17</v>
      </c>
      <c r="G10" s="12">
        <v>2</v>
      </c>
      <c r="H10" s="27">
        <f t="shared" si="0"/>
        <v>45</v>
      </c>
    </row>
    <row r="11" spans="1:8" x14ac:dyDescent="0.3">
      <c r="A11" s="12">
        <v>9</v>
      </c>
      <c r="B11" s="17" t="s">
        <v>17</v>
      </c>
      <c r="C11" s="17" t="s">
        <v>37</v>
      </c>
      <c r="D11" s="12">
        <v>0</v>
      </c>
      <c r="E11" s="12">
        <v>1</v>
      </c>
      <c r="F11" s="12">
        <v>18</v>
      </c>
      <c r="G11" s="12">
        <v>0</v>
      </c>
      <c r="H11" s="27">
        <f t="shared" si="0"/>
        <v>19</v>
      </c>
    </row>
    <row r="12" spans="1:8" x14ac:dyDescent="0.3">
      <c r="A12" s="12">
        <v>10</v>
      </c>
      <c r="B12" s="17" t="s">
        <v>18</v>
      </c>
      <c r="C12" s="17" t="s">
        <v>37</v>
      </c>
      <c r="D12" s="12">
        <v>28</v>
      </c>
      <c r="E12" s="12">
        <v>45</v>
      </c>
      <c r="F12" s="12">
        <v>95</v>
      </c>
      <c r="G12" s="12">
        <v>2</v>
      </c>
      <c r="H12" s="27">
        <f t="shared" si="0"/>
        <v>170</v>
      </c>
    </row>
    <row r="13" spans="1:8" x14ac:dyDescent="0.3">
      <c r="A13" s="12">
        <v>11</v>
      </c>
      <c r="B13" s="17" t="s">
        <v>19</v>
      </c>
      <c r="C13" s="17" t="s">
        <v>37</v>
      </c>
      <c r="D13" s="12">
        <v>11</v>
      </c>
      <c r="E13" s="12">
        <v>9</v>
      </c>
      <c r="F13" s="12">
        <v>28</v>
      </c>
      <c r="G13" s="12">
        <v>0</v>
      </c>
      <c r="H13" s="27">
        <f t="shared" si="0"/>
        <v>48</v>
      </c>
    </row>
    <row r="14" spans="1:8" x14ac:dyDescent="0.3">
      <c r="A14" s="12">
        <v>12</v>
      </c>
      <c r="B14" s="17" t="s">
        <v>53</v>
      </c>
      <c r="C14" s="17" t="s">
        <v>37</v>
      </c>
      <c r="D14" s="12">
        <v>10</v>
      </c>
      <c r="E14" s="12">
        <v>18</v>
      </c>
      <c r="F14" s="12">
        <v>48</v>
      </c>
      <c r="G14" s="12">
        <v>0</v>
      </c>
      <c r="H14" s="27">
        <f t="shared" si="0"/>
        <v>76</v>
      </c>
    </row>
    <row r="15" spans="1:8" x14ac:dyDescent="0.3">
      <c r="A15" s="12">
        <v>13</v>
      </c>
      <c r="B15" s="17" t="s">
        <v>54</v>
      </c>
      <c r="C15" s="17" t="s">
        <v>37</v>
      </c>
      <c r="D15" s="12">
        <v>3</v>
      </c>
      <c r="E15" s="12">
        <v>9</v>
      </c>
      <c r="F15" s="12">
        <v>28</v>
      </c>
      <c r="G15" s="12">
        <v>2</v>
      </c>
      <c r="H15" s="27">
        <f t="shared" si="0"/>
        <v>42</v>
      </c>
    </row>
    <row r="16" spans="1:8" x14ac:dyDescent="0.3">
      <c r="A16" s="12">
        <v>14</v>
      </c>
      <c r="B16" s="17" t="s">
        <v>55</v>
      </c>
      <c r="C16" s="17" t="s">
        <v>37</v>
      </c>
      <c r="D16" s="12">
        <v>80</v>
      </c>
      <c r="E16" s="12">
        <v>112</v>
      </c>
      <c r="F16" s="12">
        <v>90</v>
      </c>
      <c r="G16" s="12">
        <v>5</v>
      </c>
      <c r="H16" s="27">
        <f t="shared" si="0"/>
        <v>287</v>
      </c>
    </row>
    <row r="17" spans="1:8" x14ac:dyDescent="0.3">
      <c r="A17" s="12">
        <v>15</v>
      </c>
      <c r="B17" s="17" t="s">
        <v>70</v>
      </c>
      <c r="C17" s="17" t="s">
        <v>37</v>
      </c>
      <c r="D17" s="12">
        <v>51</v>
      </c>
      <c r="E17" s="12">
        <v>71</v>
      </c>
      <c r="F17" s="12">
        <v>64</v>
      </c>
      <c r="G17" s="12">
        <v>3</v>
      </c>
      <c r="H17" s="27">
        <f t="shared" si="0"/>
        <v>189</v>
      </c>
    </row>
    <row r="18" spans="1:8" x14ac:dyDescent="0.3">
      <c r="A18" s="12">
        <v>16</v>
      </c>
      <c r="B18" s="17" t="s">
        <v>56</v>
      </c>
      <c r="C18" s="17" t="s">
        <v>37</v>
      </c>
      <c r="D18" s="12">
        <v>6</v>
      </c>
      <c r="E18" s="12">
        <v>8</v>
      </c>
      <c r="F18" s="12">
        <v>35</v>
      </c>
      <c r="G18" s="12">
        <v>0</v>
      </c>
      <c r="H18" s="27">
        <f t="shared" si="0"/>
        <v>49</v>
      </c>
    </row>
    <row r="19" spans="1:8" x14ac:dyDescent="0.3">
      <c r="A19" s="12">
        <v>17</v>
      </c>
      <c r="B19" s="17" t="s">
        <v>57</v>
      </c>
      <c r="C19" s="17" t="s">
        <v>37</v>
      </c>
      <c r="D19" s="12">
        <v>57</v>
      </c>
      <c r="E19" s="12">
        <v>113</v>
      </c>
      <c r="F19" s="12">
        <v>77</v>
      </c>
      <c r="G19" s="12">
        <v>9</v>
      </c>
      <c r="H19" s="27">
        <f t="shared" si="0"/>
        <v>256</v>
      </c>
    </row>
    <row r="20" spans="1:8" x14ac:dyDescent="0.3">
      <c r="A20" s="12">
        <v>18</v>
      </c>
      <c r="B20" s="17" t="s">
        <v>71</v>
      </c>
      <c r="C20" s="17" t="s">
        <v>37</v>
      </c>
      <c r="D20" s="12">
        <v>0</v>
      </c>
      <c r="E20" s="12">
        <v>11</v>
      </c>
      <c r="F20" s="12">
        <v>22</v>
      </c>
      <c r="G20" s="12">
        <v>0</v>
      </c>
      <c r="H20" s="27">
        <f t="shared" si="0"/>
        <v>33</v>
      </c>
    </row>
    <row r="21" spans="1:8" x14ac:dyDescent="0.3">
      <c r="A21" s="12">
        <v>19</v>
      </c>
      <c r="B21" s="17" t="s">
        <v>58</v>
      </c>
      <c r="C21" s="17" t="s">
        <v>37</v>
      </c>
      <c r="D21" s="12">
        <v>2</v>
      </c>
      <c r="E21" s="12">
        <v>10</v>
      </c>
      <c r="F21" s="12">
        <v>30</v>
      </c>
      <c r="G21" s="12">
        <v>0</v>
      </c>
      <c r="H21" s="27">
        <f t="shared" si="0"/>
        <v>42</v>
      </c>
    </row>
    <row r="22" spans="1:8" x14ac:dyDescent="0.3">
      <c r="A22" s="12">
        <v>20</v>
      </c>
      <c r="B22" s="17" t="s">
        <v>23</v>
      </c>
      <c r="C22" s="17" t="s">
        <v>37</v>
      </c>
      <c r="D22" s="12">
        <v>4</v>
      </c>
      <c r="E22" s="12">
        <v>7</v>
      </c>
      <c r="F22" s="12">
        <v>45</v>
      </c>
      <c r="G22" s="12">
        <v>4</v>
      </c>
      <c r="H22" s="27">
        <f t="shared" si="0"/>
        <v>60</v>
      </c>
    </row>
    <row r="23" spans="1:8" x14ac:dyDescent="0.3">
      <c r="A23" s="12">
        <v>21</v>
      </c>
      <c r="B23" s="17" t="s">
        <v>72</v>
      </c>
      <c r="C23" s="17" t="s">
        <v>37</v>
      </c>
      <c r="D23" s="12">
        <v>15</v>
      </c>
      <c r="E23" s="12">
        <v>21</v>
      </c>
      <c r="F23" s="12">
        <v>41</v>
      </c>
      <c r="G23" s="12">
        <v>0</v>
      </c>
      <c r="H23" s="27">
        <f t="shared" si="0"/>
        <v>77</v>
      </c>
    </row>
    <row r="24" spans="1:8" x14ac:dyDescent="0.3">
      <c r="A24" s="12">
        <v>22</v>
      </c>
      <c r="B24" s="17" t="s">
        <v>26</v>
      </c>
      <c r="C24" s="17" t="s">
        <v>37</v>
      </c>
      <c r="D24" s="12">
        <v>7</v>
      </c>
      <c r="E24" s="12">
        <v>28</v>
      </c>
      <c r="F24" s="12">
        <v>43</v>
      </c>
      <c r="G24" s="12">
        <v>0</v>
      </c>
      <c r="H24" s="27">
        <f t="shared" si="0"/>
        <v>78</v>
      </c>
    </row>
    <row r="25" spans="1:8" x14ac:dyDescent="0.3">
      <c r="A25" s="12">
        <v>23</v>
      </c>
      <c r="B25" s="17" t="s">
        <v>28</v>
      </c>
      <c r="C25" s="17" t="s">
        <v>37</v>
      </c>
      <c r="D25" s="12">
        <v>0</v>
      </c>
      <c r="E25" s="12">
        <v>4</v>
      </c>
      <c r="F25" s="12">
        <v>8</v>
      </c>
      <c r="G25" s="12">
        <v>0</v>
      </c>
      <c r="H25" s="27">
        <f t="shared" si="0"/>
        <v>12</v>
      </c>
    </row>
    <row r="26" spans="1:8" x14ac:dyDescent="0.3">
      <c r="A26" s="12">
        <v>24</v>
      </c>
      <c r="B26" s="17" t="s">
        <v>30</v>
      </c>
      <c r="C26" s="17" t="s">
        <v>37</v>
      </c>
      <c r="D26" s="12">
        <v>50</v>
      </c>
      <c r="E26" s="12">
        <v>19</v>
      </c>
      <c r="F26" s="12">
        <v>65</v>
      </c>
      <c r="G26" s="12">
        <v>0</v>
      </c>
      <c r="H26" s="27">
        <f t="shared" si="0"/>
        <v>134</v>
      </c>
    </row>
    <row r="27" spans="1:8" x14ac:dyDescent="0.3">
      <c r="A27" s="12">
        <v>25</v>
      </c>
      <c r="B27" s="17" t="s">
        <v>59</v>
      </c>
      <c r="C27" s="17" t="s">
        <v>37</v>
      </c>
      <c r="D27" s="12">
        <v>4</v>
      </c>
      <c r="E27" s="12">
        <v>15</v>
      </c>
      <c r="F27" s="12">
        <v>39</v>
      </c>
      <c r="G27" s="12">
        <v>0</v>
      </c>
      <c r="H27" s="27">
        <f t="shared" si="0"/>
        <v>58</v>
      </c>
    </row>
    <row r="28" spans="1:8" x14ac:dyDescent="0.3">
      <c r="A28" s="12">
        <v>26</v>
      </c>
      <c r="B28" s="17" t="s">
        <v>51</v>
      </c>
      <c r="C28" s="17" t="s">
        <v>37</v>
      </c>
      <c r="D28" s="12">
        <v>0</v>
      </c>
      <c r="E28" s="12">
        <v>0</v>
      </c>
      <c r="F28" s="12">
        <v>5</v>
      </c>
      <c r="G28" s="12">
        <v>0</v>
      </c>
      <c r="H28" s="27">
        <f t="shared" si="0"/>
        <v>5</v>
      </c>
    </row>
    <row r="29" spans="1:8" x14ac:dyDescent="0.3">
      <c r="A29" s="12">
        <v>27</v>
      </c>
      <c r="B29" s="17" t="s">
        <v>31</v>
      </c>
      <c r="C29" s="17" t="s">
        <v>37</v>
      </c>
      <c r="D29" s="12">
        <v>20</v>
      </c>
      <c r="E29" s="12">
        <v>30</v>
      </c>
      <c r="F29" s="12">
        <v>56</v>
      </c>
      <c r="G29" s="12">
        <v>0</v>
      </c>
      <c r="H29" s="27">
        <f t="shared" si="0"/>
        <v>106</v>
      </c>
    </row>
    <row r="30" spans="1:8" x14ac:dyDescent="0.3">
      <c r="A30" s="12">
        <v>28</v>
      </c>
      <c r="B30" s="17" t="s">
        <v>32</v>
      </c>
      <c r="C30" s="17" t="s">
        <v>37</v>
      </c>
      <c r="D30" s="12">
        <v>8</v>
      </c>
      <c r="E30" s="12">
        <v>15</v>
      </c>
      <c r="F30" s="12">
        <v>21</v>
      </c>
      <c r="G30" s="12">
        <v>0</v>
      </c>
      <c r="H30" s="27">
        <f t="shared" si="0"/>
        <v>44</v>
      </c>
    </row>
    <row r="31" spans="1:8" x14ac:dyDescent="0.3">
      <c r="A31" s="12">
        <v>29</v>
      </c>
      <c r="B31" s="17" t="s">
        <v>33</v>
      </c>
      <c r="C31" s="17" t="s">
        <v>37</v>
      </c>
      <c r="D31" s="12">
        <v>2</v>
      </c>
      <c r="E31" s="12">
        <v>19</v>
      </c>
      <c r="F31" s="12">
        <v>29</v>
      </c>
      <c r="G31" s="12">
        <v>0</v>
      </c>
      <c r="H31" s="27">
        <f t="shared" si="0"/>
        <v>50</v>
      </c>
    </row>
    <row r="32" spans="1:8" x14ac:dyDescent="0.3">
      <c r="A32" s="12">
        <v>30</v>
      </c>
      <c r="B32" s="17" t="s">
        <v>34</v>
      </c>
      <c r="C32" s="17" t="s">
        <v>37</v>
      </c>
      <c r="D32" s="12">
        <v>108</v>
      </c>
      <c r="E32" s="12">
        <v>247</v>
      </c>
      <c r="F32" s="12">
        <v>56</v>
      </c>
      <c r="G32" s="12">
        <v>20</v>
      </c>
      <c r="H32" s="27">
        <f t="shared" si="0"/>
        <v>431</v>
      </c>
    </row>
    <row r="33" spans="1:8" ht="15.75" customHeight="1" x14ac:dyDescent="0.3">
      <c r="A33" s="12">
        <v>31</v>
      </c>
      <c r="B33" s="19" t="s">
        <v>73</v>
      </c>
      <c r="C33" s="20" t="s">
        <v>66</v>
      </c>
      <c r="D33" s="21">
        <v>0</v>
      </c>
      <c r="E33" s="21">
        <v>0</v>
      </c>
      <c r="F33" s="21">
        <v>18</v>
      </c>
      <c r="G33" s="21">
        <v>0</v>
      </c>
      <c r="H33" s="27">
        <f t="shared" si="0"/>
        <v>18</v>
      </c>
    </row>
    <row r="34" spans="1:8" ht="15.75" customHeight="1" x14ac:dyDescent="0.3">
      <c r="A34" s="12">
        <v>32</v>
      </c>
      <c r="B34" s="19" t="s">
        <v>74</v>
      </c>
      <c r="C34" s="20" t="s">
        <v>66</v>
      </c>
      <c r="D34" s="21">
        <v>0</v>
      </c>
      <c r="E34" s="21">
        <v>2</v>
      </c>
      <c r="F34" s="21">
        <v>9</v>
      </c>
      <c r="G34" s="21">
        <v>0</v>
      </c>
      <c r="H34" s="27">
        <f t="shared" si="0"/>
        <v>11</v>
      </c>
    </row>
    <row r="35" spans="1:8" ht="31.5" customHeight="1" x14ac:dyDescent="0.3">
      <c r="A35" s="12">
        <v>33</v>
      </c>
      <c r="B35" s="19" t="s">
        <v>97</v>
      </c>
      <c r="C35" s="23" t="s">
        <v>66</v>
      </c>
      <c r="D35" s="21">
        <v>1</v>
      </c>
      <c r="E35" s="21">
        <v>4</v>
      </c>
      <c r="F35" s="21">
        <v>11</v>
      </c>
      <c r="G35" s="21">
        <v>0</v>
      </c>
      <c r="H35" s="27">
        <f t="shared" si="0"/>
        <v>16</v>
      </c>
    </row>
    <row r="36" spans="1:8" ht="15.75" customHeight="1" x14ac:dyDescent="0.3">
      <c r="A36" s="12">
        <v>34</v>
      </c>
      <c r="B36" s="19" t="s">
        <v>43</v>
      </c>
      <c r="C36" s="20" t="s">
        <v>66</v>
      </c>
      <c r="D36" s="21">
        <v>1</v>
      </c>
      <c r="E36" s="21">
        <v>0</v>
      </c>
      <c r="F36" s="21">
        <v>23</v>
      </c>
      <c r="G36" s="21">
        <v>0</v>
      </c>
      <c r="H36" s="27">
        <f t="shared" si="0"/>
        <v>24</v>
      </c>
    </row>
    <row r="37" spans="1:8" ht="15.75" customHeight="1" x14ac:dyDescent="0.3">
      <c r="A37" s="12">
        <v>35</v>
      </c>
      <c r="B37" s="19" t="s">
        <v>60</v>
      </c>
      <c r="C37" s="24" t="s">
        <v>39</v>
      </c>
      <c r="D37" s="21">
        <v>2</v>
      </c>
      <c r="E37" s="21">
        <v>9</v>
      </c>
      <c r="F37" s="21">
        <v>0</v>
      </c>
      <c r="G37" s="21">
        <v>0</v>
      </c>
      <c r="H37" s="27">
        <f t="shared" si="0"/>
        <v>11</v>
      </c>
    </row>
    <row r="38" spans="1:8" ht="15.75" customHeight="1" x14ac:dyDescent="0.3">
      <c r="A38" s="12">
        <v>36</v>
      </c>
      <c r="B38" s="19" t="s">
        <v>5</v>
      </c>
      <c r="C38" s="24" t="s">
        <v>39</v>
      </c>
      <c r="D38" s="21">
        <v>5</v>
      </c>
      <c r="E38" s="21">
        <v>16</v>
      </c>
      <c r="F38" s="21">
        <v>10</v>
      </c>
      <c r="G38" s="21">
        <v>2</v>
      </c>
      <c r="H38" s="27">
        <f t="shared" si="0"/>
        <v>33</v>
      </c>
    </row>
    <row r="39" spans="1:8" ht="15.75" customHeight="1" x14ac:dyDescent="0.3">
      <c r="A39" s="12">
        <v>37</v>
      </c>
      <c r="B39" s="19" t="s">
        <v>6</v>
      </c>
      <c r="C39" s="24" t="s">
        <v>39</v>
      </c>
      <c r="D39" s="21">
        <v>2</v>
      </c>
      <c r="E39" s="21">
        <v>8</v>
      </c>
      <c r="F39" s="21">
        <v>15</v>
      </c>
      <c r="G39" s="21">
        <v>0</v>
      </c>
      <c r="H39" s="27">
        <f t="shared" si="0"/>
        <v>25</v>
      </c>
    </row>
    <row r="40" spans="1:8" ht="31.5" customHeight="1" x14ac:dyDescent="0.3">
      <c r="A40" s="12">
        <v>38</v>
      </c>
      <c r="B40" s="22" t="s">
        <v>75</v>
      </c>
      <c r="C40" s="24" t="s">
        <v>39</v>
      </c>
      <c r="D40" s="21">
        <v>5</v>
      </c>
      <c r="E40" s="21">
        <v>13</v>
      </c>
      <c r="F40" s="21">
        <v>28</v>
      </c>
      <c r="G40" s="21">
        <v>0</v>
      </c>
      <c r="H40" s="27">
        <f t="shared" si="0"/>
        <v>46</v>
      </c>
    </row>
    <row r="41" spans="1:8" ht="15.75" customHeight="1" x14ac:dyDescent="0.3">
      <c r="A41" s="12">
        <v>39</v>
      </c>
      <c r="B41" s="19" t="s">
        <v>8</v>
      </c>
      <c r="C41" s="24" t="s">
        <v>39</v>
      </c>
      <c r="D41" s="21">
        <v>2</v>
      </c>
      <c r="E41" s="21">
        <v>13</v>
      </c>
      <c r="F41" s="21">
        <v>32</v>
      </c>
      <c r="G41" s="21">
        <v>1</v>
      </c>
      <c r="H41" s="27">
        <f t="shared" si="0"/>
        <v>48</v>
      </c>
    </row>
    <row r="42" spans="1:8" ht="31.5" customHeight="1" x14ac:dyDescent="0.3">
      <c r="A42" s="12">
        <v>40</v>
      </c>
      <c r="B42" s="22" t="s">
        <v>76</v>
      </c>
      <c r="C42" s="24" t="s">
        <v>39</v>
      </c>
      <c r="D42" s="21">
        <v>2</v>
      </c>
      <c r="E42" s="21">
        <v>7</v>
      </c>
      <c r="F42" s="21">
        <v>16</v>
      </c>
      <c r="G42" s="21">
        <v>0</v>
      </c>
      <c r="H42" s="27">
        <f t="shared" si="0"/>
        <v>25</v>
      </c>
    </row>
    <row r="43" spans="1:8" ht="15.75" customHeight="1" x14ac:dyDescent="0.3">
      <c r="A43" s="12">
        <v>41</v>
      </c>
      <c r="B43" s="19" t="s">
        <v>11</v>
      </c>
      <c r="C43" s="24" t="s">
        <v>39</v>
      </c>
      <c r="D43" s="21">
        <v>7</v>
      </c>
      <c r="E43" s="21">
        <v>10</v>
      </c>
      <c r="F43" s="21">
        <v>29</v>
      </c>
      <c r="G43" s="21">
        <v>0</v>
      </c>
      <c r="H43" s="27">
        <f t="shared" si="0"/>
        <v>46</v>
      </c>
    </row>
    <row r="44" spans="1:8" ht="15.75" customHeight="1" x14ac:dyDescent="0.3">
      <c r="A44" s="12">
        <v>42</v>
      </c>
      <c r="B44" s="19" t="s">
        <v>77</v>
      </c>
      <c r="C44" s="24" t="s">
        <v>39</v>
      </c>
      <c r="D44" s="21">
        <v>4</v>
      </c>
      <c r="E44" s="21">
        <v>3</v>
      </c>
      <c r="F44" s="21">
        <v>11</v>
      </c>
      <c r="G44" s="21">
        <v>0</v>
      </c>
      <c r="H44" s="27">
        <f t="shared" si="0"/>
        <v>18</v>
      </c>
    </row>
    <row r="45" spans="1:8" ht="15.75" customHeight="1" x14ac:dyDescent="0.3">
      <c r="A45" s="12">
        <v>43</v>
      </c>
      <c r="B45" s="19" t="s">
        <v>13</v>
      </c>
      <c r="C45" s="24" t="s">
        <v>39</v>
      </c>
      <c r="D45" s="21">
        <v>1</v>
      </c>
      <c r="E45" s="21">
        <v>9</v>
      </c>
      <c r="F45" s="21">
        <v>12</v>
      </c>
      <c r="G45" s="21">
        <v>2</v>
      </c>
      <c r="H45" s="27">
        <f t="shared" si="0"/>
        <v>24</v>
      </c>
    </row>
    <row r="46" spans="1:8" ht="31.5" customHeight="1" x14ac:dyDescent="0.3">
      <c r="A46" s="12">
        <v>44</v>
      </c>
      <c r="B46" s="22" t="s">
        <v>78</v>
      </c>
      <c r="C46" s="24" t="s">
        <v>39</v>
      </c>
      <c r="D46" s="21">
        <v>0</v>
      </c>
      <c r="E46" s="21">
        <v>0</v>
      </c>
      <c r="F46" s="21">
        <v>13</v>
      </c>
      <c r="G46" s="21">
        <v>0</v>
      </c>
      <c r="H46" s="27">
        <f t="shared" si="0"/>
        <v>13</v>
      </c>
    </row>
    <row r="47" spans="1:8" ht="15.75" customHeight="1" x14ac:dyDescent="0.3">
      <c r="A47" s="12">
        <v>45</v>
      </c>
      <c r="B47" s="19" t="s">
        <v>14</v>
      </c>
      <c r="C47" s="24" t="s">
        <v>39</v>
      </c>
      <c r="D47" s="21">
        <v>5</v>
      </c>
      <c r="E47" s="21">
        <v>17</v>
      </c>
      <c r="F47" s="21">
        <v>28</v>
      </c>
      <c r="G47" s="21">
        <v>1</v>
      </c>
      <c r="H47" s="27">
        <f t="shared" si="0"/>
        <v>51</v>
      </c>
    </row>
    <row r="48" spans="1:8" ht="15.75" customHeight="1" x14ac:dyDescent="0.3">
      <c r="A48" s="12">
        <v>46</v>
      </c>
      <c r="B48" s="19" t="s">
        <v>21</v>
      </c>
      <c r="C48" s="24" t="s">
        <v>39</v>
      </c>
      <c r="D48" s="21">
        <v>6</v>
      </c>
      <c r="E48" s="21">
        <v>27</v>
      </c>
      <c r="F48" s="21">
        <v>63</v>
      </c>
      <c r="G48" s="21">
        <v>2</v>
      </c>
      <c r="H48" s="27">
        <f t="shared" si="0"/>
        <v>98</v>
      </c>
    </row>
    <row r="49" spans="1:8" ht="15.75" customHeight="1" x14ac:dyDescent="0.3">
      <c r="A49" s="12">
        <v>47</v>
      </c>
      <c r="B49" s="19" t="s">
        <v>22</v>
      </c>
      <c r="C49" s="24" t="s">
        <v>39</v>
      </c>
      <c r="D49" s="21">
        <v>2</v>
      </c>
      <c r="E49" s="21">
        <v>5</v>
      </c>
      <c r="F49" s="21">
        <v>9</v>
      </c>
      <c r="G49" s="21">
        <v>1</v>
      </c>
      <c r="H49" s="27">
        <f t="shared" si="0"/>
        <v>17</v>
      </c>
    </row>
    <row r="50" spans="1:8" ht="15.75" customHeight="1" x14ac:dyDescent="0.3">
      <c r="A50" s="12">
        <v>48</v>
      </c>
      <c r="B50" s="19" t="s">
        <v>25</v>
      </c>
      <c r="C50" s="24" t="s">
        <v>39</v>
      </c>
      <c r="D50" s="21">
        <v>0</v>
      </c>
      <c r="E50" s="21">
        <v>5</v>
      </c>
      <c r="F50" s="21">
        <v>10</v>
      </c>
      <c r="G50" s="21">
        <v>1</v>
      </c>
      <c r="H50" s="27">
        <f t="shared" si="0"/>
        <v>16</v>
      </c>
    </row>
    <row r="51" spans="1:8" ht="15.75" customHeight="1" x14ac:dyDescent="0.3">
      <c r="A51" s="12">
        <v>49</v>
      </c>
      <c r="B51" s="19" t="s">
        <v>79</v>
      </c>
      <c r="C51" s="24" t="s">
        <v>39</v>
      </c>
      <c r="D51" s="21">
        <v>3</v>
      </c>
      <c r="E51" s="21">
        <v>6</v>
      </c>
      <c r="F51" s="21">
        <v>17</v>
      </c>
      <c r="G51" s="21">
        <v>0</v>
      </c>
      <c r="H51" s="27">
        <f t="shared" si="0"/>
        <v>26</v>
      </c>
    </row>
    <row r="52" spans="1:8" ht="15.75" customHeight="1" x14ac:dyDescent="0.3">
      <c r="A52" s="12">
        <v>50</v>
      </c>
      <c r="B52" s="19" t="s">
        <v>27</v>
      </c>
      <c r="C52" s="24" t="s">
        <v>39</v>
      </c>
      <c r="D52" s="21">
        <v>5</v>
      </c>
      <c r="E52" s="21">
        <v>13</v>
      </c>
      <c r="F52" s="21">
        <v>14</v>
      </c>
      <c r="G52" s="21">
        <v>0</v>
      </c>
      <c r="H52" s="27">
        <f t="shared" si="0"/>
        <v>32</v>
      </c>
    </row>
    <row r="53" spans="1:8" ht="31.5" customHeight="1" x14ac:dyDescent="0.3">
      <c r="A53" s="12">
        <v>51</v>
      </c>
      <c r="B53" s="22" t="s">
        <v>80</v>
      </c>
      <c r="C53" s="24" t="s">
        <v>39</v>
      </c>
      <c r="D53" s="21">
        <v>3</v>
      </c>
      <c r="E53" s="21">
        <v>8</v>
      </c>
      <c r="F53" s="21">
        <v>13</v>
      </c>
      <c r="G53" s="21">
        <v>0</v>
      </c>
      <c r="H53" s="27">
        <f t="shared" si="0"/>
        <v>24</v>
      </c>
    </row>
    <row r="54" spans="1:8" ht="31.5" customHeight="1" x14ac:dyDescent="0.3">
      <c r="A54" s="12">
        <v>52</v>
      </c>
      <c r="B54" s="22" t="s">
        <v>81</v>
      </c>
      <c r="C54" s="24" t="s">
        <v>39</v>
      </c>
      <c r="D54" s="21">
        <v>2</v>
      </c>
      <c r="E54" s="21">
        <v>13</v>
      </c>
      <c r="F54" s="21">
        <v>41</v>
      </c>
      <c r="G54" s="21">
        <v>1</v>
      </c>
      <c r="H54" s="27">
        <f t="shared" si="0"/>
        <v>57</v>
      </c>
    </row>
    <row r="55" spans="1:8" ht="15.75" customHeight="1" x14ac:dyDescent="0.3">
      <c r="A55" s="12">
        <v>53</v>
      </c>
      <c r="B55" s="25" t="s">
        <v>10</v>
      </c>
      <c r="C55" s="19" t="s">
        <v>67</v>
      </c>
      <c r="D55" s="21">
        <v>0</v>
      </c>
      <c r="E55" s="21">
        <v>2</v>
      </c>
      <c r="F55" s="21">
        <v>1</v>
      </c>
      <c r="G55" s="21">
        <v>0</v>
      </c>
      <c r="H55" s="27">
        <f t="shared" si="0"/>
        <v>3</v>
      </c>
    </row>
    <row r="56" spans="1:8" ht="15.75" customHeight="1" x14ac:dyDescent="0.3">
      <c r="A56" s="12">
        <v>54</v>
      </c>
      <c r="B56" s="25" t="s">
        <v>29</v>
      </c>
      <c r="C56" s="19" t="s">
        <v>67</v>
      </c>
      <c r="D56" s="21">
        <v>1</v>
      </c>
      <c r="E56" s="21">
        <v>10</v>
      </c>
      <c r="F56" s="21">
        <v>11</v>
      </c>
      <c r="G56" s="21">
        <v>0</v>
      </c>
      <c r="H56" s="27">
        <f t="shared" si="0"/>
        <v>22</v>
      </c>
    </row>
    <row r="57" spans="1:8" ht="31.5" customHeight="1" x14ac:dyDescent="0.3">
      <c r="A57" s="12">
        <v>55</v>
      </c>
      <c r="B57" s="18" t="s">
        <v>82</v>
      </c>
      <c r="C57" s="19" t="s">
        <v>67</v>
      </c>
      <c r="D57" s="21">
        <v>0</v>
      </c>
      <c r="E57" s="21">
        <v>0</v>
      </c>
      <c r="F57" s="21">
        <v>2</v>
      </c>
      <c r="G57" s="21">
        <v>1</v>
      </c>
      <c r="H57" s="27">
        <f t="shared" si="0"/>
        <v>3</v>
      </c>
    </row>
    <row r="58" spans="1:8" ht="15.75" customHeight="1" x14ac:dyDescent="0.3">
      <c r="A58" s="12">
        <v>56</v>
      </c>
      <c r="B58" s="25" t="s">
        <v>83</v>
      </c>
      <c r="C58" s="19" t="s">
        <v>67</v>
      </c>
      <c r="D58" s="21">
        <v>0</v>
      </c>
      <c r="E58" s="21">
        <v>0</v>
      </c>
      <c r="F58" s="21">
        <v>5</v>
      </c>
      <c r="G58" s="21">
        <v>0</v>
      </c>
      <c r="H58" s="27">
        <f t="shared" si="0"/>
        <v>5</v>
      </c>
    </row>
    <row r="59" spans="1:8" ht="15.75" customHeight="1" x14ac:dyDescent="0.3">
      <c r="A59" s="12">
        <v>57</v>
      </c>
      <c r="B59" s="25" t="s">
        <v>84</v>
      </c>
      <c r="C59" s="19" t="s">
        <v>67</v>
      </c>
      <c r="D59" s="21">
        <v>0</v>
      </c>
      <c r="E59" s="21">
        <v>0</v>
      </c>
      <c r="F59" s="21">
        <v>0</v>
      </c>
      <c r="G59" s="21">
        <v>0</v>
      </c>
      <c r="H59" s="27">
        <f t="shared" si="0"/>
        <v>0</v>
      </c>
    </row>
    <row r="60" spans="1:8" ht="15.75" customHeight="1" x14ac:dyDescent="0.3">
      <c r="A60" s="12">
        <v>58</v>
      </c>
      <c r="B60" s="19" t="s">
        <v>85</v>
      </c>
      <c r="C60" s="20" t="s">
        <v>68</v>
      </c>
      <c r="D60" s="21">
        <v>0</v>
      </c>
      <c r="E60" s="21">
        <v>2</v>
      </c>
      <c r="F60" s="21">
        <v>1</v>
      </c>
      <c r="G60" s="21">
        <v>0</v>
      </c>
      <c r="H60" s="27">
        <f t="shared" si="0"/>
        <v>3</v>
      </c>
    </row>
    <row r="61" spans="1:8" ht="15.75" customHeight="1" x14ac:dyDescent="0.3">
      <c r="A61" s="12">
        <v>59</v>
      </c>
      <c r="B61" s="19" t="s">
        <v>86</v>
      </c>
      <c r="C61" s="20" t="s">
        <v>68</v>
      </c>
      <c r="D61" s="21">
        <v>0</v>
      </c>
      <c r="E61" s="21">
        <v>0</v>
      </c>
      <c r="F61" s="21">
        <v>5</v>
      </c>
      <c r="G61" s="21">
        <v>0</v>
      </c>
      <c r="H61" s="27">
        <f t="shared" si="0"/>
        <v>5</v>
      </c>
    </row>
    <row r="62" spans="1:8" ht="15.75" customHeight="1" x14ac:dyDescent="0.3">
      <c r="A62" s="12">
        <v>60</v>
      </c>
      <c r="B62" s="19" t="s">
        <v>87</v>
      </c>
      <c r="C62" s="20" t="s">
        <v>68</v>
      </c>
      <c r="D62" s="21">
        <v>2</v>
      </c>
      <c r="E62" s="21">
        <v>5</v>
      </c>
      <c r="F62" s="21">
        <v>5</v>
      </c>
      <c r="G62" s="21">
        <v>0</v>
      </c>
      <c r="H62" s="27">
        <f t="shared" si="0"/>
        <v>12</v>
      </c>
    </row>
    <row r="63" spans="1:8" x14ac:dyDescent="0.3">
      <c r="A63" s="12">
        <v>61</v>
      </c>
      <c r="B63" s="19" t="s">
        <v>98</v>
      </c>
      <c r="C63" s="20" t="s">
        <v>68</v>
      </c>
      <c r="D63" s="21">
        <v>0</v>
      </c>
      <c r="E63" s="21">
        <v>0</v>
      </c>
      <c r="F63" s="21">
        <v>4</v>
      </c>
      <c r="G63" s="21">
        <v>0</v>
      </c>
      <c r="H63" s="27">
        <f t="shared" si="0"/>
        <v>4</v>
      </c>
    </row>
    <row r="64" spans="1:8" ht="15.75" customHeight="1" x14ac:dyDescent="0.3">
      <c r="A64" s="12">
        <v>62</v>
      </c>
      <c r="B64" s="19" t="s">
        <v>88</v>
      </c>
      <c r="C64" s="20" t="s">
        <v>68</v>
      </c>
      <c r="D64" s="21">
        <v>0</v>
      </c>
      <c r="E64" s="21">
        <v>0</v>
      </c>
      <c r="F64" s="21">
        <v>3</v>
      </c>
      <c r="G64" s="21">
        <v>0</v>
      </c>
      <c r="H64" s="27">
        <f t="shared" si="0"/>
        <v>3</v>
      </c>
    </row>
    <row r="65" spans="1:8" ht="15.75" customHeight="1" x14ac:dyDescent="0.3">
      <c r="A65" s="12">
        <v>63</v>
      </c>
      <c r="B65" s="19" t="s">
        <v>89</v>
      </c>
      <c r="C65" s="20" t="s">
        <v>68</v>
      </c>
      <c r="D65" s="21">
        <v>1</v>
      </c>
      <c r="E65" s="21">
        <v>3</v>
      </c>
      <c r="F65" s="21">
        <v>3</v>
      </c>
      <c r="G65" s="21">
        <v>0</v>
      </c>
      <c r="H65" s="27">
        <f t="shared" si="0"/>
        <v>7</v>
      </c>
    </row>
    <row r="66" spans="1:8" ht="15.75" customHeight="1" x14ac:dyDescent="0.3">
      <c r="A66" s="12">
        <v>64</v>
      </c>
      <c r="B66" s="19" t="s">
        <v>90</v>
      </c>
      <c r="C66" s="20" t="s">
        <v>68</v>
      </c>
      <c r="D66" s="21">
        <v>0</v>
      </c>
      <c r="E66" s="21">
        <v>0</v>
      </c>
      <c r="F66" s="21">
        <v>3</v>
      </c>
      <c r="G66" s="21">
        <v>0</v>
      </c>
      <c r="H66" s="27">
        <f t="shared" si="0"/>
        <v>3</v>
      </c>
    </row>
    <row r="67" spans="1:8" ht="15.75" customHeight="1" x14ac:dyDescent="0.3">
      <c r="A67" s="12">
        <v>65</v>
      </c>
      <c r="B67" s="19" t="s">
        <v>91</v>
      </c>
      <c r="C67" s="20" t="s">
        <v>68</v>
      </c>
      <c r="D67" s="21">
        <v>0</v>
      </c>
      <c r="E67" s="21">
        <v>1</v>
      </c>
      <c r="F67" s="21">
        <v>5</v>
      </c>
      <c r="G67" s="21">
        <v>0</v>
      </c>
      <c r="H67" s="27">
        <f t="shared" si="0"/>
        <v>6</v>
      </c>
    </row>
    <row r="68" spans="1:8" ht="15.75" customHeight="1" x14ac:dyDescent="0.3">
      <c r="A68" s="12">
        <v>66</v>
      </c>
      <c r="B68" s="19" t="s">
        <v>92</v>
      </c>
      <c r="C68" s="20" t="s">
        <v>68</v>
      </c>
      <c r="D68" s="21">
        <v>0</v>
      </c>
      <c r="E68" s="21">
        <v>0</v>
      </c>
      <c r="F68" s="21">
        <v>8</v>
      </c>
      <c r="G68" s="21">
        <v>0</v>
      </c>
      <c r="H68" s="27">
        <f t="shared" ref="H68:H71" si="1">SUM(D68:G68)</f>
        <v>8</v>
      </c>
    </row>
    <row r="69" spans="1:8" ht="15.75" customHeight="1" x14ac:dyDescent="0.3">
      <c r="A69" s="12">
        <v>67</v>
      </c>
      <c r="B69" s="19" t="s">
        <v>93</v>
      </c>
      <c r="C69" s="20" t="s">
        <v>68</v>
      </c>
      <c r="D69" s="21">
        <v>0</v>
      </c>
      <c r="E69" s="21">
        <v>0</v>
      </c>
      <c r="F69" s="21">
        <v>4</v>
      </c>
      <c r="G69" s="21">
        <v>0</v>
      </c>
      <c r="H69" s="27">
        <f t="shared" si="1"/>
        <v>4</v>
      </c>
    </row>
    <row r="70" spans="1:8" ht="15.75" customHeight="1" x14ac:dyDescent="0.3">
      <c r="A70" s="12">
        <v>68</v>
      </c>
      <c r="B70" s="19" t="s">
        <v>94</v>
      </c>
      <c r="C70" s="20" t="s">
        <v>68</v>
      </c>
      <c r="D70" s="21">
        <v>0</v>
      </c>
      <c r="E70" s="21">
        <v>0</v>
      </c>
      <c r="F70" s="21">
        <v>6</v>
      </c>
      <c r="G70" s="21">
        <v>0</v>
      </c>
      <c r="H70" s="27">
        <f t="shared" si="1"/>
        <v>6</v>
      </c>
    </row>
    <row r="71" spans="1:8" ht="15.75" customHeight="1" x14ac:dyDescent="0.3">
      <c r="A71" s="12">
        <v>69</v>
      </c>
      <c r="B71" s="19" t="s">
        <v>95</v>
      </c>
      <c r="C71" s="20" t="s">
        <v>68</v>
      </c>
      <c r="D71" s="21">
        <v>0</v>
      </c>
      <c r="E71" s="21">
        <v>0</v>
      </c>
      <c r="F71" s="21">
        <v>4</v>
      </c>
      <c r="G71" s="21">
        <v>0</v>
      </c>
      <c r="H71" s="27">
        <f t="shared" si="1"/>
        <v>4</v>
      </c>
    </row>
    <row r="72" spans="1:8" x14ac:dyDescent="0.3">
      <c r="C72" s="5" t="s">
        <v>47</v>
      </c>
      <c r="D72" s="27">
        <f>SUM(D3:D71)</f>
        <v>680</v>
      </c>
      <c r="E72" s="27">
        <f t="shared" ref="E72:H72" si="2">SUM(E3:E71)</f>
        <v>1389</v>
      </c>
      <c r="F72" s="27">
        <f t="shared" si="2"/>
        <v>1839</v>
      </c>
      <c r="G72" s="27">
        <f t="shared" si="2"/>
        <v>72</v>
      </c>
      <c r="H72" s="27">
        <f t="shared" si="2"/>
        <v>3980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84E6-CC0F-472C-ADC6-F83C61B4B856}">
  <dimension ref="A1:K74"/>
  <sheetViews>
    <sheetView workbookViewId="0">
      <selection activeCell="A2" sqref="A2"/>
    </sheetView>
  </sheetViews>
  <sheetFormatPr defaultRowHeight="14.4" x14ac:dyDescent="0.3"/>
  <cols>
    <col min="1" max="1" width="44" style="11" customWidth="1"/>
    <col min="2" max="2" width="30.625" style="15" customWidth="1"/>
    <col min="3" max="3" width="9.75" style="8" bestFit="1" customWidth="1"/>
    <col min="4" max="4" width="9.625" style="8" bestFit="1" customWidth="1"/>
    <col min="5" max="5" width="10.75" style="8" customWidth="1"/>
    <col min="6" max="6" width="12.625" style="8" customWidth="1"/>
    <col min="7" max="10" width="9.125" style="8" bestFit="1" customWidth="1"/>
    <col min="11" max="11" width="13.125" style="31" bestFit="1" customWidth="1"/>
    <col min="12" max="16384" width="9" style="31"/>
  </cols>
  <sheetData>
    <row r="1" spans="1:11" x14ac:dyDescent="0.3">
      <c r="A1" s="32" t="s">
        <v>161</v>
      </c>
      <c r="B1" s="4"/>
      <c r="C1" s="35"/>
      <c r="D1" s="35"/>
      <c r="E1" s="35"/>
      <c r="F1" s="35"/>
      <c r="G1" s="35"/>
      <c r="H1" s="35"/>
      <c r="I1" s="35"/>
      <c r="J1" s="35"/>
    </row>
    <row r="2" spans="1:11" x14ac:dyDescent="0.3">
      <c r="A2" s="41"/>
      <c r="B2" s="42"/>
      <c r="C2" s="46" t="s">
        <v>2</v>
      </c>
      <c r="D2" s="47"/>
      <c r="E2" s="46" t="s">
        <v>41</v>
      </c>
      <c r="F2" s="47"/>
      <c r="G2" s="46" t="s">
        <v>3</v>
      </c>
      <c r="H2" s="47"/>
      <c r="I2" s="46" t="s">
        <v>4</v>
      </c>
      <c r="J2" s="48"/>
      <c r="K2" s="39"/>
    </row>
    <row r="3" spans="1:11" x14ac:dyDescent="0.3">
      <c r="A3" s="43" t="s">
        <v>100</v>
      </c>
      <c r="B3" s="44" t="s">
        <v>46</v>
      </c>
      <c r="C3" s="45" t="s">
        <v>101</v>
      </c>
      <c r="D3" s="45" t="s">
        <v>102</v>
      </c>
      <c r="E3" s="45" t="s">
        <v>101</v>
      </c>
      <c r="F3" s="45" t="s">
        <v>102</v>
      </c>
      <c r="G3" s="45" t="s">
        <v>101</v>
      </c>
      <c r="H3" s="45" t="s">
        <v>102</v>
      </c>
      <c r="I3" s="45" t="s">
        <v>101</v>
      </c>
      <c r="J3" s="45" t="s">
        <v>102</v>
      </c>
      <c r="K3" s="5" t="s">
        <v>47</v>
      </c>
    </row>
    <row r="4" spans="1:11" x14ac:dyDescent="0.3">
      <c r="A4" s="16" t="s">
        <v>103</v>
      </c>
      <c r="B4" s="16" t="s">
        <v>37</v>
      </c>
      <c r="C4" s="9">
        <v>34586</v>
      </c>
      <c r="D4" s="9">
        <v>21900</v>
      </c>
      <c r="E4" s="9">
        <v>131</v>
      </c>
      <c r="F4" s="9">
        <v>71</v>
      </c>
      <c r="G4" s="9">
        <v>9118</v>
      </c>
      <c r="H4" s="9">
        <v>6591</v>
      </c>
      <c r="I4" s="9">
        <v>1058</v>
      </c>
      <c r="J4" s="9">
        <v>439</v>
      </c>
      <c r="K4" s="2">
        <f>SUM(C4:D4,E4:F4,G4:H4,I4:J4)</f>
        <v>73894</v>
      </c>
    </row>
    <row r="5" spans="1:11" x14ac:dyDescent="0.3">
      <c r="A5" s="33" t="s">
        <v>57</v>
      </c>
      <c r="B5" s="16" t="s">
        <v>37</v>
      </c>
      <c r="C5" s="36">
        <v>23049</v>
      </c>
      <c r="D5" s="36">
        <v>16833</v>
      </c>
      <c r="E5" s="36">
        <v>4</v>
      </c>
      <c r="F5" s="36">
        <v>2</v>
      </c>
      <c r="G5" s="36">
        <v>356</v>
      </c>
      <c r="H5" s="36">
        <v>245</v>
      </c>
      <c r="I5" s="36">
        <v>372</v>
      </c>
      <c r="J5" s="36">
        <v>312</v>
      </c>
      <c r="K5" s="2">
        <f>SUM(C5:D5,E5:F5,G5:H5,I5:J5)</f>
        <v>41173</v>
      </c>
    </row>
    <row r="6" spans="1:11" x14ac:dyDescent="0.3">
      <c r="A6" s="13" t="s">
        <v>108</v>
      </c>
      <c r="B6" s="16" t="s">
        <v>37</v>
      </c>
      <c r="C6" s="9">
        <v>24289</v>
      </c>
      <c r="D6" s="9">
        <v>29466</v>
      </c>
      <c r="E6" s="9">
        <v>114</v>
      </c>
      <c r="F6" s="9">
        <v>197</v>
      </c>
      <c r="G6" s="9">
        <v>5727</v>
      </c>
      <c r="H6" s="9">
        <v>7008</v>
      </c>
      <c r="I6" s="9">
        <v>364</v>
      </c>
      <c r="J6" s="9">
        <v>261</v>
      </c>
      <c r="K6" s="2">
        <f>SUM(C6:D6,E6:F6,G6:H6,I6:J6)</f>
        <v>67426</v>
      </c>
    </row>
    <row r="7" spans="1:11" x14ac:dyDescent="0.3">
      <c r="A7" s="13" t="s">
        <v>109</v>
      </c>
      <c r="B7" s="16" t="s">
        <v>37</v>
      </c>
      <c r="C7" s="9">
        <v>11081</v>
      </c>
      <c r="D7" s="9">
        <v>6269</v>
      </c>
      <c r="E7" s="9">
        <v>0</v>
      </c>
      <c r="F7" s="9">
        <v>0</v>
      </c>
      <c r="G7" s="9">
        <v>1499</v>
      </c>
      <c r="H7" s="9">
        <v>203</v>
      </c>
      <c r="I7" s="9">
        <v>22</v>
      </c>
      <c r="J7" s="9">
        <v>14</v>
      </c>
      <c r="K7" s="2">
        <f>SUM(C7:D7,E7:F7,G7:H7,I7:J7)</f>
        <v>19088</v>
      </c>
    </row>
    <row r="8" spans="1:11" x14ac:dyDescent="0.3">
      <c r="A8" s="13" t="s">
        <v>110</v>
      </c>
      <c r="B8" s="16" t="s">
        <v>37</v>
      </c>
      <c r="C8" s="9">
        <v>13673</v>
      </c>
      <c r="D8" s="9">
        <v>9063</v>
      </c>
      <c r="E8" s="9">
        <v>26</v>
      </c>
      <c r="F8" s="9">
        <v>9</v>
      </c>
      <c r="G8" s="9">
        <v>5119</v>
      </c>
      <c r="H8" s="9">
        <v>2963</v>
      </c>
      <c r="I8" s="9">
        <v>1757</v>
      </c>
      <c r="J8" s="9">
        <v>871</v>
      </c>
      <c r="K8" s="2">
        <f>SUM(C8:D8,E8:F8,G8:H8,I8:J8)</f>
        <v>33481</v>
      </c>
    </row>
    <row r="9" spans="1:11" x14ac:dyDescent="0.3">
      <c r="A9" s="16" t="s">
        <v>55</v>
      </c>
      <c r="B9" s="16" t="s">
        <v>37</v>
      </c>
      <c r="C9" s="9">
        <v>9425</v>
      </c>
      <c r="D9" s="9">
        <v>6758</v>
      </c>
      <c r="E9" s="9">
        <v>123</v>
      </c>
      <c r="F9" s="9">
        <v>59</v>
      </c>
      <c r="G9" s="9">
        <v>797</v>
      </c>
      <c r="H9" s="9">
        <v>597</v>
      </c>
      <c r="I9" s="9">
        <v>420</v>
      </c>
      <c r="J9" s="9">
        <v>214</v>
      </c>
      <c r="K9" s="2">
        <f>SUM(C9:D9,E9:F9,G9:H9,I9:J9)</f>
        <v>18393</v>
      </c>
    </row>
    <row r="10" spans="1:11" x14ac:dyDescent="0.3">
      <c r="A10" s="13" t="s">
        <v>111</v>
      </c>
      <c r="B10" s="16" t="s">
        <v>37</v>
      </c>
      <c r="C10" s="9">
        <v>3920</v>
      </c>
      <c r="D10" s="9">
        <v>1787</v>
      </c>
      <c r="E10" s="9">
        <v>0</v>
      </c>
      <c r="F10" s="9">
        <v>0</v>
      </c>
      <c r="G10" s="9">
        <v>267</v>
      </c>
      <c r="H10" s="9">
        <v>94</v>
      </c>
      <c r="I10" s="9">
        <v>74</v>
      </c>
      <c r="J10" s="9">
        <v>44</v>
      </c>
      <c r="K10" s="2">
        <f>SUM(C10:D10,E10:F10,G10:H10,I10:J10)</f>
        <v>6186</v>
      </c>
    </row>
    <row r="11" spans="1:11" x14ac:dyDescent="0.3">
      <c r="A11" s="13" t="s">
        <v>112</v>
      </c>
      <c r="B11" s="16" t="s">
        <v>37</v>
      </c>
      <c r="C11" s="9">
        <v>9086</v>
      </c>
      <c r="D11" s="9">
        <v>5724</v>
      </c>
      <c r="E11" s="9">
        <v>31</v>
      </c>
      <c r="F11" s="9">
        <v>29</v>
      </c>
      <c r="G11" s="9">
        <v>559</v>
      </c>
      <c r="H11" s="9">
        <v>437</v>
      </c>
      <c r="I11" s="9">
        <v>70</v>
      </c>
      <c r="J11" s="9">
        <v>67</v>
      </c>
      <c r="K11" s="2">
        <f>SUM(C11:D11,E11:F11,G11:H11,I11:J11)</f>
        <v>16003</v>
      </c>
    </row>
    <row r="12" spans="1:11" x14ac:dyDescent="0.3">
      <c r="A12" s="13" t="s">
        <v>113</v>
      </c>
      <c r="B12" s="16" t="s">
        <v>37</v>
      </c>
      <c r="C12" s="9">
        <v>8313</v>
      </c>
      <c r="D12" s="9">
        <v>2933</v>
      </c>
      <c r="E12" s="9">
        <v>0</v>
      </c>
      <c r="F12" s="9">
        <v>0</v>
      </c>
      <c r="G12" s="9">
        <v>19</v>
      </c>
      <c r="H12" s="9">
        <v>16</v>
      </c>
      <c r="I12" s="9">
        <v>101</v>
      </c>
      <c r="J12" s="9">
        <v>28</v>
      </c>
      <c r="K12" s="2">
        <f>SUM(C12:D12,E12:F12,G12:H12,I12:J12)</f>
        <v>11410</v>
      </c>
    </row>
    <row r="13" spans="1:11" x14ac:dyDescent="0.3">
      <c r="A13" s="13" t="s">
        <v>114</v>
      </c>
      <c r="B13" s="16" t="s">
        <v>37</v>
      </c>
      <c r="C13" s="9">
        <v>6773</v>
      </c>
      <c r="D13" s="9">
        <v>2473</v>
      </c>
      <c r="E13" s="9">
        <v>0</v>
      </c>
      <c r="F13" s="9">
        <v>0</v>
      </c>
      <c r="G13" s="9">
        <v>89</v>
      </c>
      <c r="H13" s="9">
        <v>37</v>
      </c>
      <c r="I13" s="9">
        <v>6</v>
      </c>
      <c r="J13" s="9">
        <v>3</v>
      </c>
      <c r="K13" s="2">
        <f>SUM(C13:D13,E13:F13,G13:H13,I13:J13)</f>
        <v>9381</v>
      </c>
    </row>
    <row r="14" spans="1:11" x14ac:dyDescent="0.3">
      <c r="A14" s="13" t="s">
        <v>115</v>
      </c>
      <c r="B14" s="16" t="s">
        <v>37</v>
      </c>
      <c r="C14" s="9">
        <v>3604</v>
      </c>
      <c r="D14" s="9">
        <v>2456</v>
      </c>
      <c r="E14" s="9">
        <v>0</v>
      </c>
      <c r="F14" s="9">
        <v>0</v>
      </c>
      <c r="G14" s="9">
        <v>160</v>
      </c>
      <c r="H14" s="9">
        <v>35</v>
      </c>
      <c r="I14" s="9">
        <v>20</v>
      </c>
      <c r="J14" s="9">
        <v>7</v>
      </c>
      <c r="K14" s="2">
        <f>SUM(C14:D14,E14:F14,G14:H14,I14:J14)</f>
        <v>6282</v>
      </c>
    </row>
    <row r="15" spans="1:11" x14ac:dyDescent="0.3">
      <c r="A15" s="13" t="s">
        <v>116</v>
      </c>
      <c r="B15" s="16" t="s">
        <v>37</v>
      </c>
      <c r="C15" s="9">
        <v>11730</v>
      </c>
      <c r="D15" s="9">
        <v>8384</v>
      </c>
      <c r="E15" s="9">
        <v>58</v>
      </c>
      <c r="F15" s="9">
        <v>31</v>
      </c>
      <c r="G15" s="9">
        <v>894</v>
      </c>
      <c r="H15" s="9">
        <v>501</v>
      </c>
      <c r="I15" s="9">
        <v>200</v>
      </c>
      <c r="J15" s="9">
        <v>94</v>
      </c>
      <c r="K15" s="2">
        <f>SUM(C15:D15,E15:F15,G15:H15,I15:J15)</f>
        <v>21892</v>
      </c>
    </row>
    <row r="16" spans="1:11" x14ac:dyDescent="0.3">
      <c r="A16" s="13" t="s">
        <v>117</v>
      </c>
      <c r="B16" s="16" t="s">
        <v>37</v>
      </c>
      <c r="C16" s="9">
        <v>14556</v>
      </c>
      <c r="D16" s="9">
        <v>10295</v>
      </c>
      <c r="E16" s="9">
        <v>0</v>
      </c>
      <c r="F16" s="9">
        <v>0</v>
      </c>
      <c r="G16" s="9">
        <v>358</v>
      </c>
      <c r="H16" s="9">
        <v>305</v>
      </c>
      <c r="I16" s="9">
        <v>206</v>
      </c>
      <c r="J16" s="9">
        <v>127</v>
      </c>
      <c r="K16" s="2">
        <f>SUM(C16:D16,E16:F16,G16:H16,I16:J16)</f>
        <v>25847</v>
      </c>
    </row>
    <row r="17" spans="1:11" x14ac:dyDescent="0.3">
      <c r="A17" s="13" t="s">
        <v>118</v>
      </c>
      <c r="B17" s="16" t="s">
        <v>37</v>
      </c>
      <c r="C17" s="9">
        <v>5629</v>
      </c>
      <c r="D17" s="9">
        <v>4486</v>
      </c>
      <c r="E17" s="9">
        <v>0</v>
      </c>
      <c r="F17" s="9">
        <v>0</v>
      </c>
      <c r="G17" s="9">
        <v>85</v>
      </c>
      <c r="H17" s="9">
        <v>85</v>
      </c>
      <c r="I17" s="9">
        <v>46</v>
      </c>
      <c r="J17" s="9">
        <v>89</v>
      </c>
      <c r="K17" s="2">
        <f>SUM(C17:D17,E17:F17,G17:H17,I17:J17)</f>
        <v>10420</v>
      </c>
    </row>
    <row r="18" spans="1:11" x14ac:dyDescent="0.3">
      <c r="A18" s="13" t="s">
        <v>119</v>
      </c>
      <c r="B18" s="16" t="s">
        <v>37</v>
      </c>
      <c r="C18" s="9">
        <v>4344</v>
      </c>
      <c r="D18" s="9">
        <v>2960</v>
      </c>
      <c r="E18" s="9">
        <v>0</v>
      </c>
      <c r="F18" s="9">
        <v>0</v>
      </c>
      <c r="G18" s="9">
        <v>229</v>
      </c>
      <c r="H18" s="9">
        <v>186</v>
      </c>
      <c r="I18" s="9">
        <v>33</v>
      </c>
      <c r="J18" s="9">
        <v>36</v>
      </c>
      <c r="K18" s="2">
        <f>SUM(C18:D18,E18:F18,G18:H18,I18:J18)</f>
        <v>7788</v>
      </c>
    </row>
    <row r="19" spans="1:11" x14ac:dyDescent="0.3">
      <c r="A19" s="13" t="s">
        <v>120</v>
      </c>
      <c r="B19" s="16" t="s">
        <v>37</v>
      </c>
      <c r="C19" s="9">
        <v>2988</v>
      </c>
      <c r="D19" s="9">
        <v>1596</v>
      </c>
      <c r="E19" s="9">
        <v>0</v>
      </c>
      <c r="F19" s="9">
        <v>0</v>
      </c>
      <c r="G19" s="9">
        <v>99</v>
      </c>
      <c r="H19" s="9">
        <v>55</v>
      </c>
      <c r="I19" s="9">
        <v>14</v>
      </c>
      <c r="J19" s="9">
        <v>4</v>
      </c>
      <c r="K19" s="2">
        <f>SUM(C19:D19,E19:F19,G19:H19,I19:J19)</f>
        <v>4756</v>
      </c>
    </row>
    <row r="20" spans="1:11" x14ac:dyDescent="0.3">
      <c r="A20" s="16" t="s">
        <v>71</v>
      </c>
      <c r="B20" s="16" t="s">
        <v>37</v>
      </c>
      <c r="C20" s="9">
        <v>2596</v>
      </c>
      <c r="D20" s="9">
        <v>1468</v>
      </c>
      <c r="E20" s="9">
        <v>0</v>
      </c>
      <c r="F20" s="9">
        <v>0</v>
      </c>
      <c r="G20" s="9">
        <v>5</v>
      </c>
      <c r="H20" s="9">
        <v>2</v>
      </c>
      <c r="I20" s="9">
        <v>0</v>
      </c>
      <c r="J20" s="9">
        <v>0</v>
      </c>
      <c r="K20" s="2">
        <f>SUM(C20:D20,E20:F20,G20:H20,I20:J20)</f>
        <v>4071</v>
      </c>
    </row>
    <row r="21" spans="1:11" x14ac:dyDescent="0.3">
      <c r="A21" s="13" t="s">
        <v>50</v>
      </c>
      <c r="B21" s="16" t="s">
        <v>37</v>
      </c>
      <c r="C21" s="9">
        <v>6654</v>
      </c>
      <c r="D21" s="9">
        <v>4054</v>
      </c>
      <c r="E21" s="9">
        <v>0</v>
      </c>
      <c r="F21" s="9">
        <v>0</v>
      </c>
      <c r="G21" s="9">
        <v>762</v>
      </c>
      <c r="H21" s="9">
        <v>209</v>
      </c>
      <c r="I21" s="9">
        <v>279</v>
      </c>
      <c r="J21" s="9">
        <v>67</v>
      </c>
      <c r="K21" s="2">
        <f>SUM(C21:D21,E21:F21,G21:H21,I21:J21)</f>
        <v>12025</v>
      </c>
    </row>
    <row r="22" spans="1:11" x14ac:dyDescent="0.3">
      <c r="A22" s="13" t="s">
        <v>121</v>
      </c>
      <c r="B22" s="16" t="s">
        <v>37</v>
      </c>
      <c r="C22" s="9">
        <v>4350</v>
      </c>
      <c r="D22" s="9">
        <v>3511</v>
      </c>
      <c r="E22" s="9">
        <v>0</v>
      </c>
      <c r="F22" s="9">
        <v>0</v>
      </c>
      <c r="G22" s="9">
        <v>1053</v>
      </c>
      <c r="H22" s="9">
        <v>639</v>
      </c>
      <c r="I22" s="9">
        <v>188</v>
      </c>
      <c r="J22" s="9">
        <v>116</v>
      </c>
      <c r="K22" s="2">
        <f>SUM(C22:D22,E22:F22,G22:H22,I22:J22)</f>
        <v>9857</v>
      </c>
    </row>
    <row r="23" spans="1:11" x14ac:dyDescent="0.3">
      <c r="A23" s="16" t="s">
        <v>33</v>
      </c>
      <c r="B23" s="16" t="s">
        <v>37</v>
      </c>
      <c r="C23" s="9">
        <v>1189</v>
      </c>
      <c r="D23" s="9">
        <v>1111</v>
      </c>
      <c r="E23" s="9">
        <v>0</v>
      </c>
      <c r="F23" s="9">
        <v>0</v>
      </c>
      <c r="G23" s="9">
        <v>221</v>
      </c>
      <c r="H23" s="9">
        <v>219</v>
      </c>
      <c r="I23" s="9">
        <v>22</v>
      </c>
      <c r="J23" s="9">
        <v>6</v>
      </c>
      <c r="K23" s="2">
        <f>SUM(C23:D23,E23:F23,G23:H23,I23:J23)</f>
        <v>2768</v>
      </c>
    </row>
    <row r="24" spans="1:11" x14ac:dyDescent="0.3">
      <c r="A24" s="13" t="s">
        <v>122</v>
      </c>
      <c r="B24" s="16" t="s">
        <v>37</v>
      </c>
      <c r="C24" s="9">
        <v>8325</v>
      </c>
      <c r="D24" s="9">
        <v>7007</v>
      </c>
      <c r="E24" s="9">
        <v>0</v>
      </c>
      <c r="F24" s="9">
        <v>0</v>
      </c>
      <c r="G24" s="9">
        <v>42</v>
      </c>
      <c r="H24" s="9">
        <v>35</v>
      </c>
      <c r="I24" s="9">
        <v>16</v>
      </c>
      <c r="J24" s="9">
        <v>7</v>
      </c>
      <c r="K24" s="2">
        <f>SUM(C24:D24,E24:F24,G24:H24,I24:J24)</f>
        <v>15432</v>
      </c>
    </row>
    <row r="25" spans="1:11" x14ac:dyDescent="0.3">
      <c r="A25" s="13" t="s">
        <v>123</v>
      </c>
      <c r="B25" s="16" t="s">
        <v>37</v>
      </c>
      <c r="C25" s="9">
        <v>3459</v>
      </c>
      <c r="D25" s="9">
        <v>2509</v>
      </c>
      <c r="E25" s="9">
        <v>0</v>
      </c>
      <c r="F25" s="9">
        <v>0</v>
      </c>
      <c r="G25" s="9">
        <v>77</v>
      </c>
      <c r="H25" s="9">
        <v>82</v>
      </c>
      <c r="I25" s="9">
        <v>49</v>
      </c>
      <c r="J25" s="9">
        <v>39</v>
      </c>
      <c r="K25" s="2">
        <f>SUM(C25:D25,E25:F25,G25:H25,I25:J25)</f>
        <v>6215</v>
      </c>
    </row>
    <row r="26" spans="1:11" x14ac:dyDescent="0.3">
      <c r="A26" s="13" t="s">
        <v>124</v>
      </c>
      <c r="B26" s="16" t="s">
        <v>37</v>
      </c>
      <c r="C26" s="9">
        <v>3461</v>
      </c>
      <c r="D26" s="9">
        <v>2720</v>
      </c>
      <c r="E26" s="9">
        <v>4</v>
      </c>
      <c r="F26" s="9">
        <v>1</v>
      </c>
      <c r="G26" s="9">
        <v>142</v>
      </c>
      <c r="H26" s="9">
        <v>85</v>
      </c>
      <c r="I26" s="9">
        <v>34</v>
      </c>
      <c r="J26" s="9">
        <v>20</v>
      </c>
      <c r="K26" s="2">
        <f>SUM(C26:D26,E26:F26,G26:H26,I26:J26)</f>
        <v>6467</v>
      </c>
    </row>
    <row r="27" spans="1:11" x14ac:dyDescent="0.3">
      <c r="A27" s="13" t="s">
        <v>125</v>
      </c>
      <c r="B27" s="16" t="s">
        <v>37</v>
      </c>
      <c r="C27" s="9">
        <v>2146</v>
      </c>
      <c r="D27" s="9">
        <v>1830</v>
      </c>
      <c r="E27" s="9">
        <v>0</v>
      </c>
      <c r="F27" s="9">
        <v>0</v>
      </c>
      <c r="G27" s="9">
        <v>54</v>
      </c>
      <c r="H27" s="9">
        <v>36</v>
      </c>
      <c r="I27" s="9">
        <v>20</v>
      </c>
      <c r="J27" s="9">
        <v>13</v>
      </c>
      <c r="K27" s="2">
        <f>SUM(C27:D27,E27:F27,G27:H27,I27:J27)</f>
        <v>4099</v>
      </c>
    </row>
    <row r="28" spans="1:11" x14ac:dyDescent="0.3">
      <c r="A28" s="13" t="s">
        <v>126</v>
      </c>
      <c r="B28" s="16" t="s">
        <v>37</v>
      </c>
      <c r="C28" s="9">
        <v>1123</v>
      </c>
      <c r="D28" s="9">
        <v>755</v>
      </c>
      <c r="E28" s="9">
        <v>0</v>
      </c>
      <c r="F28" s="9">
        <v>0</v>
      </c>
      <c r="G28" s="9">
        <v>4</v>
      </c>
      <c r="H28" s="9">
        <v>1</v>
      </c>
      <c r="I28" s="9">
        <v>0</v>
      </c>
      <c r="J28" s="9">
        <v>0</v>
      </c>
      <c r="K28" s="2">
        <f>SUM(C28:D28,E28:F28,G28:H28,I28:J28)</f>
        <v>1883</v>
      </c>
    </row>
    <row r="29" spans="1:11" x14ac:dyDescent="0.3">
      <c r="A29" s="16" t="s">
        <v>104</v>
      </c>
      <c r="B29" s="16" t="s">
        <v>37</v>
      </c>
      <c r="C29" s="9">
        <v>1623</v>
      </c>
      <c r="D29" s="9">
        <v>858</v>
      </c>
      <c r="E29" s="9">
        <v>0</v>
      </c>
      <c r="F29" s="9">
        <v>0</v>
      </c>
      <c r="G29" s="9">
        <v>4</v>
      </c>
      <c r="H29" s="9">
        <v>7</v>
      </c>
      <c r="I29" s="9">
        <v>0</v>
      </c>
      <c r="J29" s="9">
        <v>0</v>
      </c>
      <c r="K29" s="2">
        <f>SUM(C29:D29,E29:F29,G29:H29,I29:J29)</f>
        <v>2492</v>
      </c>
    </row>
    <row r="30" spans="1:11" x14ac:dyDescent="0.3">
      <c r="A30" s="13" t="s">
        <v>127</v>
      </c>
      <c r="B30" s="16" t="s">
        <v>37</v>
      </c>
      <c r="C30" s="9">
        <v>4147</v>
      </c>
      <c r="D30" s="9">
        <v>2398</v>
      </c>
      <c r="E30" s="9">
        <v>0</v>
      </c>
      <c r="F30" s="9">
        <v>0</v>
      </c>
      <c r="G30" s="9">
        <v>53</v>
      </c>
      <c r="H30" s="9">
        <v>42</v>
      </c>
      <c r="I30" s="9">
        <v>11</v>
      </c>
      <c r="J30" s="9">
        <v>19</v>
      </c>
      <c r="K30" s="2">
        <f>SUM(C30:D30,E30:F30,G30:H30,I30:J30)</f>
        <v>6670</v>
      </c>
    </row>
    <row r="31" spans="1:11" x14ac:dyDescent="0.3">
      <c r="A31" s="16" t="s">
        <v>24</v>
      </c>
      <c r="B31" s="16" t="s">
        <v>37</v>
      </c>
      <c r="C31" s="9">
        <v>2942</v>
      </c>
      <c r="D31" s="9">
        <v>2168</v>
      </c>
      <c r="E31" s="9">
        <v>0</v>
      </c>
      <c r="F31" s="9">
        <v>0</v>
      </c>
      <c r="G31" s="9">
        <v>115</v>
      </c>
      <c r="H31" s="9">
        <v>80</v>
      </c>
      <c r="I31" s="9">
        <v>66</v>
      </c>
      <c r="J31" s="9">
        <v>25</v>
      </c>
      <c r="K31" s="2">
        <f>SUM(C31:D31,E31:F31,G31:H31,I31:J31)</f>
        <v>5396</v>
      </c>
    </row>
    <row r="32" spans="1:11" x14ac:dyDescent="0.3">
      <c r="A32" s="13" t="s">
        <v>128</v>
      </c>
      <c r="B32" s="16" t="s">
        <v>37</v>
      </c>
      <c r="C32" s="9">
        <v>1122</v>
      </c>
      <c r="D32" s="9">
        <v>686</v>
      </c>
      <c r="E32" s="9">
        <v>0</v>
      </c>
      <c r="F32" s="9">
        <v>0</v>
      </c>
      <c r="G32" s="9">
        <v>9</v>
      </c>
      <c r="H32" s="9">
        <v>10</v>
      </c>
      <c r="I32" s="9">
        <v>0</v>
      </c>
      <c r="J32" s="9">
        <v>0</v>
      </c>
      <c r="K32" s="2">
        <f>SUM(C32:D32,E32:F32,G32:H32,I32:J32)</f>
        <v>1827</v>
      </c>
    </row>
    <row r="33" spans="1:11" x14ac:dyDescent="0.3">
      <c r="A33" s="13" t="s">
        <v>129</v>
      </c>
      <c r="B33" s="16" t="s">
        <v>37</v>
      </c>
      <c r="C33" s="9">
        <v>1617</v>
      </c>
      <c r="D33" s="9">
        <v>1656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2">
        <f>SUM(C33:D33,E33:F33,G33:H33,I33:J33)</f>
        <v>3273</v>
      </c>
    </row>
    <row r="34" spans="1:11" x14ac:dyDescent="0.3">
      <c r="A34" s="14" t="s">
        <v>74</v>
      </c>
      <c r="B34" s="34" t="s">
        <v>38</v>
      </c>
      <c r="C34" s="37">
        <v>511</v>
      </c>
      <c r="D34" s="37">
        <v>178</v>
      </c>
      <c r="E34" s="9">
        <v>0</v>
      </c>
      <c r="F34" s="9">
        <v>0</v>
      </c>
      <c r="G34" s="9">
        <v>18</v>
      </c>
      <c r="H34" s="9">
        <v>4</v>
      </c>
      <c r="I34" s="9">
        <v>0</v>
      </c>
      <c r="J34" s="9">
        <v>0</v>
      </c>
      <c r="K34" s="2">
        <f>SUM(C34:D34,E34:F34,G34:H34,I34:J34)</f>
        <v>711</v>
      </c>
    </row>
    <row r="35" spans="1:11" x14ac:dyDescent="0.3">
      <c r="A35" s="14" t="s">
        <v>42</v>
      </c>
      <c r="B35" s="34" t="s">
        <v>38</v>
      </c>
      <c r="C35" s="37">
        <v>961</v>
      </c>
      <c r="D35" s="37">
        <v>757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2">
        <f>SUM(C35:D35,E35:F35,G35:H35,I35:J35)</f>
        <v>1718</v>
      </c>
    </row>
    <row r="36" spans="1:11" x14ac:dyDescent="0.3">
      <c r="A36" s="14" t="s">
        <v>73</v>
      </c>
      <c r="B36" s="34" t="s">
        <v>38</v>
      </c>
      <c r="C36" s="37">
        <v>98</v>
      </c>
      <c r="D36" s="37">
        <v>81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2">
        <f>SUM(C36:D36,E36:F36,G36:H36,I36:J36)</f>
        <v>179</v>
      </c>
    </row>
    <row r="37" spans="1:11" x14ac:dyDescent="0.3">
      <c r="A37" s="14" t="s">
        <v>43</v>
      </c>
      <c r="B37" s="34" t="s">
        <v>38</v>
      </c>
      <c r="C37" s="37">
        <v>378</v>
      </c>
      <c r="D37" s="37">
        <v>252</v>
      </c>
      <c r="E37" s="9">
        <v>0</v>
      </c>
      <c r="F37" s="9">
        <v>0</v>
      </c>
      <c r="G37" s="9">
        <v>0</v>
      </c>
      <c r="H37" s="9">
        <v>0</v>
      </c>
      <c r="I37" s="9">
        <v>1</v>
      </c>
      <c r="J37" s="9">
        <v>1</v>
      </c>
      <c r="K37" s="2">
        <f>SUM(C37:D37,E37:F37,G37:H37,I37:J37)</f>
        <v>632</v>
      </c>
    </row>
    <row r="38" spans="1:11" x14ac:dyDescent="0.3">
      <c r="A38" s="14" t="s">
        <v>105</v>
      </c>
      <c r="B38" s="34" t="s">
        <v>38</v>
      </c>
      <c r="C38" s="37">
        <v>134</v>
      </c>
      <c r="D38" s="37">
        <v>43</v>
      </c>
      <c r="E38" s="9">
        <v>0</v>
      </c>
      <c r="F38" s="9">
        <v>0</v>
      </c>
      <c r="G38" s="9">
        <v>18</v>
      </c>
      <c r="H38" s="9">
        <v>6</v>
      </c>
      <c r="I38" s="38" t="s">
        <v>130</v>
      </c>
      <c r="J38" s="38" t="s">
        <v>131</v>
      </c>
      <c r="K38" s="2">
        <f>SUM(C38:D38,E38:F38,G38:H38,I38:J38)</f>
        <v>201</v>
      </c>
    </row>
    <row r="39" spans="1:11" x14ac:dyDescent="0.3">
      <c r="A39" s="16" t="s">
        <v>10</v>
      </c>
      <c r="B39" s="16" t="s">
        <v>40</v>
      </c>
      <c r="C39" s="9">
        <v>41</v>
      </c>
      <c r="D39" s="9">
        <v>0</v>
      </c>
      <c r="E39" s="37">
        <v>0</v>
      </c>
      <c r="F39" s="37">
        <v>0</v>
      </c>
      <c r="G39" s="9">
        <v>7</v>
      </c>
      <c r="H39" s="9">
        <v>8</v>
      </c>
      <c r="I39" s="37">
        <v>0</v>
      </c>
      <c r="J39" s="37">
        <v>0</v>
      </c>
      <c r="K39" s="2">
        <f>SUM(C39:D39,E39:F39,G39:H39,I39:J39)</f>
        <v>56</v>
      </c>
    </row>
    <row r="40" spans="1:11" x14ac:dyDescent="0.3">
      <c r="A40" s="16" t="s">
        <v>29</v>
      </c>
      <c r="B40" s="16" t="s">
        <v>40</v>
      </c>
      <c r="C40" s="9">
        <v>196</v>
      </c>
      <c r="D40" s="9">
        <v>73</v>
      </c>
      <c r="E40" s="37">
        <v>0</v>
      </c>
      <c r="F40" s="37">
        <v>0</v>
      </c>
      <c r="G40" s="9">
        <v>92</v>
      </c>
      <c r="H40" s="9">
        <v>59</v>
      </c>
      <c r="I40" s="37">
        <v>11</v>
      </c>
      <c r="J40" s="37">
        <v>9</v>
      </c>
      <c r="K40" s="2">
        <f>SUM(C40:D40,E40:F40,G40:H40,I40:J40)</f>
        <v>440</v>
      </c>
    </row>
    <row r="41" spans="1:11" x14ac:dyDescent="0.3">
      <c r="A41" s="13" t="s">
        <v>132</v>
      </c>
      <c r="B41" s="16" t="s">
        <v>40</v>
      </c>
      <c r="C41" s="9">
        <v>125</v>
      </c>
      <c r="D41" s="9">
        <v>85</v>
      </c>
      <c r="E41" s="37">
        <v>0</v>
      </c>
      <c r="F41" s="37">
        <v>0</v>
      </c>
      <c r="G41" s="9">
        <v>7</v>
      </c>
      <c r="H41" s="9">
        <v>6</v>
      </c>
      <c r="I41" s="37">
        <v>0</v>
      </c>
      <c r="J41" s="37">
        <v>0</v>
      </c>
      <c r="K41" s="2">
        <f>SUM(C41:D41,E41:F41,G41:H41,I41:J41)</f>
        <v>223</v>
      </c>
    </row>
    <row r="42" spans="1:11" x14ac:dyDescent="0.3">
      <c r="A42" s="16" t="s">
        <v>84</v>
      </c>
      <c r="B42" s="16" t="s">
        <v>40</v>
      </c>
      <c r="C42" s="9">
        <v>0</v>
      </c>
      <c r="D42" s="9">
        <v>0</v>
      </c>
      <c r="E42" s="37">
        <v>0</v>
      </c>
      <c r="F42" s="37">
        <v>0</v>
      </c>
      <c r="G42" s="9">
        <v>0</v>
      </c>
      <c r="H42" s="9">
        <v>0</v>
      </c>
      <c r="I42" s="37">
        <v>0</v>
      </c>
      <c r="J42" s="37">
        <v>0</v>
      </c>
      <c r="K42" s="2">
        <f>SUM(C42:D42,E42:F42,G42:H42,I42:J42)</f>
        <v>0</v>
      </c>
    </row>
    <row r="43" spans="1:11" x14ac:dyDescent="0.3">
      <c r="A43" s="16" t="s">
        <v>83</v>
      </c>
      <c r="B43" s="16" t="s">
        <v>40</v>
      </c>
      <c r="C43" s="9">
        <v>243</v>
      </c>
      <c r="D43" s="9">
        <v>205</v>
      </c>
      <c r="E43" s="37">
        <v>0</v>
      </c>
      <c r="F43" s="37">
        <v>0</v>
      </c>
      <c r="G43" s="9">
        <v>92</v>
      </c>
      <c r="H43" s="9">
        <v>59</v>
      </c>
      <c r="I43" s="37">
        <v>0</v>
      </c>
      <c r="J43" s="37">
        <v>0</v>
      </c>
      <c r="K43" s="2">
        <f>SUM(C43:D43,E43:F43,G43:H43,I43:J43)</f>
        <v>599</v>
      </c>
    </row>
    <row r="44" spans="1:11" x14ac:dyDescent="0.3">
      <c r="A44" s="16" t="s">
        <v>45</v>
      </c>
      <c r="B44" s="16" t="s">
        <v>39</v>
      </c>
      <c r="C44" s="9">
        <v>1069</v>
      </c>
      <c r="D44" s="9">
        <v>1022</v>
      </c>
      <c r="E44" s="9">
        <v>0</v>
      </c>
      <c r="F44" s="9">
        <v>0</v>
      </c>
      <c r="G44" s="9">
        <v>34</v>
      </c>
      <c r="H44" s="9">
        <v>36</v>
      </c>
      <c r="I44" s="9">
        <v>11</v>
      </c>
      <c r="J44" s="9">
        <v>5</v>
      </c>
      <c r="K44" s="2">
        <f>SUM(C44:D44,E44:F44,G44:H44,I44:J44)</f>
        <v>2177</v>
      </c>
    </row>
    <row r="45" spans="1:11" x14ac:dyDescent="0.3">
      <c r="A45" s="13" t="s">
        <v>133</v>
      </c>
      <c r="B45" s="16" t="s">
        <v>39</v>
      </c>
      <c r="C45" s="9">
        <v>1622</v>
      </c>
      <c r="D45" s="9">
        <v>1893</v>
      </c>
      <c r="E45" s="9">
        <v>0</v>
      </c>
      <c r="F45" s="9">
        <v>0</v>
      </c>
      <c r="G45" s="9">
        <v>425</v>
      </c>
      <c r="H45" s="9">
        <v>440</v>
      </c>
      <c r="I45" s="9">
        <v>102</v>
      </c>
      <c r="J45" s="9">
        <v>51</v>
      </c>
      <c r="K45" s="2">
        <f>SUM(C45:D45,E45:F45,G45:H45,I45:J45)</f>
        <v>4533</v>
      </c>
    </row>
    <row r="46" spans="1:11" x14ac:dyDescent="0.3">
      <c r="A46" s="16" t="s">
        <v>8</v>
      </c>
      <c r="B46" s="16" t="s">
        <v>39</v>
      </c>
      <c r="C46" s="9">
        <v>1602</v>
      </c>
      <c r="D46" s="9">
        <v>2618</v>
      </c>
      <c r="E46" s="9">
        <v>1</v>
      </c>
      <c r="F46" s="9">
        <v>4</v>
      </c>
      <c r="G46" s="9">
        <v>264</v>
      </c>
      <c r="H46" s="9">
        <v>638</v>
      </c>
      <c r="I46" s="9">
        <v>18</v>
      </c>
      <c r="J46" s="9">
        <v>54</v>
      </c>
      <c r="K46" s="2">
        <f>SUM(C46:D46,E46:F46,G46:H46,I46:J46)</f>
        <v>5199</v>
      </c>
    </row>
    <row r="47" spans="1:11" x14ac:dyDescent="0.3">
      <c r="A47" s="13" t="s">
        <v>134</v>
      </c>
      <c r="B47" s="16" t="s">
        <v>39</v>
      </c>
      <c r="C47" s="9">
        <v>142</v>
      </c>
      <c r="D47" s="9">
        <v>105</v>
      </c>
      <c r="E47" s="9">
        <v>0</v>
      </c>
      <c r="F47" s="9">
        <v>0</v>
      </c>
      <c r="G47" s="9">
        <v>15</v>
      </c>
      <c r="H47" s="9">
        <v>13</v>
      </c>
      <c r="I47" s="9">
        <v>0</v>
      </c>
      <c r="J47" s="9">
        <v>0</v>
      </c>
      <c r="K47" s="2">
        <f>SUM(C47:D47,E47:F47,G47:H47,I47:J47)</f>
        <v>275</v>
      </c>
    </row>
    <row r="48" spans="1:11" x14ac:dyDescent="0.3">
      <c r="A48" s="16" t="s">
        <v>44</v>
      </c>
      <c r="B48" s="16" t="s">
        <v>39</v>
      </c>
      <c r="C48" s="9">
        <v>2481</v>
      </c>
      <c r="D48" s="9">
        <v>2603</v>
      </c>
      <c r="E48" s="9">
        <v>0</v>
      </c>
      <c r="F48" s="9">
        <v>0</v>
      </c>
      <c r="G48" s="9">
        <v>527</v>
      </c>
      <c r="H48" s="9">
        <v>913</v>
      </c>
      <c r="I48" s="9">
        <v>44</v>
      </c>
      <c r="J48" s="9">
        <v>84</v>
      </c>
      <c r="K48" s="2">
        <f>SUM(C48:D48,E48:F48,G48:H48,I48:J48)</f>
        <v>6652</v>
      </c>
    </row>
    <row r="49" spans="1:11" x14ac:dyDescent="0.3">
      <c r="A49" s="16" t="s">
        <v>63</v>
      </c>
      <c r="B49" s="16" t="s">
        <v>39</v>
      </c>
      <c r="C49" s="9">
        <v>1918</v>
      </c>
      <c r="D49" s="9">
        <v>2442</v>
      </c>
      <c r="E49" s="9">
        <v>0</v>
      </c>
      <c r="F49" s="9">
        <v>0</v>
      </c>
      <c r="G49" s="9">
        <v>126</v>
      </c>
      <c r="H49" s="9">
        <v>113</v>
      </c>
      <c r="I49" s="9">
        <v>43</v>
      </c>
      <c r="J49" s="9">
        <v>27</v>
      </c>
      <c r="K49" s="2">
        <f>SUM(C49:D49,E49:F49,G49:H49,I49:J49)</f>
        <v>4669</v>
      </c>
    </row>
    <row r="50" spans="1:11" x14ac:dyDescent="0.3">
      <c r="A50" s="13" t="s">
        <v>135</v>
      </c>
      <c r="B50" s="16" t="s">
        <v>39</v>
      </c>
      <c r="C50" s="9">
        <v>240</v>
      </c>
      <c r="D50" s="9">
        <v>242</v>
      </c>
      <c r="E50" s="9">
        <v>10</v>
      </c>
      <c r="F50" s="9">
        <v>10</v>
      </c>
      <c r="G50" s="9">
        <v>89</v>
      </c>
      <c r="H50" s="9">
        <v>105</v>
      </c>
      <c r="I50" s="9">
        <v>33</v>
      </c>
      <c r="J50" s="9">
        <v>25</v>
      </c>
      <c r="K50" s="2">
        <f>SUM(C50:D50,E50:F50,G50:H50,I50:J50)</f>
        <v>754</v>
      </c>
    </row>
    <row r="51" spans="1:11" x14ac:dyDescent="0.3">
      <c r="A51" s="13" t="s">
        <v>136</v>
      </c>
      <c r="B51" s="16" t="s">
        <v>39</v>
      </c>
      <c r="C51" s="9">
        <v>303</v>
      </c>
      <c r="D51" s="9">
        <v>195</v>
      </c>
      <c r="E51" s="9">
        <v>7</v>
      </c>
      <c r="F51" s="9">
        <v>3</v>
      </c>
      <c r="G51" s="9">
        <v>197</v>
      </c>
      <c r="H51" s="9">
        <v>83</v>
      </c>
      <c r="I51" s="9">
        <v>74</v>
      </c>
      <c r="J51" s="9">
        <v>80</v>
      </c>
      <c r="K51" s="2">
        <f>SUM(C51:D51,E51:F51,G51:H51,I51:J51)</f>
        <v>942</v>
      </c>
    </row>
    <row r="52" spans="1:11" x14ac:dyDescent="0.3">
      <c r="A52" s="13" t="s">
        <v>137</v>
      </c>
      <c r="B52" s="16" t="s">
        <v>39</v>
      </c>
      <c r="C52" s="9">
        <v>254</v>
      </c>
      <c r="D52" s="9">
        <v>165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2">
        <f>SUM(C52:D52,E52:F52,G52:H52,I52:J52)</f>
        <v>419</v>
      </c>
    </row>
    <row r="53" spans="1:11" x14ac:dyDescent="0.3">
      <c r="A53" s="13" t="s">
        <v>138</v>
      </c>
      <c r="B53" s="16" t="s">
        <v>39</v>
      </c>
      <c r="C53" s="9">
        <v>951</v>
      </c>
      <c r="D53" s="9">
        <v>1605</v>
      </c>
      <c r="E53" s="9">
        <v>0</v>
      </c>
      <c r="F53" s="9">
        <v>0</v>
      </c>
      <c r="G53" s="9">
        <v>236</v>
      </c>
      <c r="H53" s="9">
        <v>235</v>
      </c>
      <c r="I53" s="9">
        <v>14</v>
      </c>
      <c r="J53" s="9">
        <v>2</v>
      </c>
      <c r="K53" s="2">
        <f>SUM(C53:D53,E53:F53,G53:H53,I53:J53)</f>
        <v>3043</v>
      </c>
    </row>
    <row r="54" spans="1:11" x14ac:dyDescent="0.3">
      <c r="A54" s="13" t="s">
        <v>139</v>
      </c>
      <c r="B54" s="16" t="s">
        <v>39</v>
      </c>
      <c r="C54" s="9">
        <v>4335</v>
      </c>
      <c r="D54" s="9">
        <v>4656</v>
      </c>
      <c r="E54" s="9">
        <v>4</v>
      </c>
      <c r="F54" s="9">
        <v>1</v>
      </c>
      <c r="G54" s="9">
        <v>293</v>
      </c>
      <c r="H54" s="9">
        <v>307</v>
      </c>
      <c r="I54" s="9">
        <v>52</v>
      </c>
      <c r="J54" s="9">
        <v>41</v>
      </c>
      <c r="K54" s="2">
        <f>SUM(C54:D54,E54:F54,G54:H54,I54:J54)</f>
        <v>9689</v>
      </c>
    </row>
    <row r="55" spans="1:11" x14ac:dyDescent="0.3">
      <c r="A55" s="16" t="s">
        <v>27</v>
      </c>
      <c r="B55" s="16" t="s">
        <v>39</v>
      </c>
      <c r="C55" s="9">
        <v>2115</v>
      </c>
      <c r="D55" s="9">
        <v>2113</v>
      </c>
      <c r="E55" s="9">
        <v>0</v>
      </c>
      <c r="F55" s="9">
        <v>0</v>
      </c>
      <c r="G55" s="9">
        <v>443</v>
      </c>
      <c r="H55" s="9">
        <v>355</v>
      </c>
      <c r="I55" s="9">
        <v>11</v>
      </c>
      <c r="J55" s="9">
        <v>10</v>
      </c>
      <c r="K55" s="2">
        <f>SUM(C55:D55,E55:F55,G55:H55,I55:J55)</f>
        <v>5047</v>
      </c>
    </row>
    <row r="56" spans="1:11" x14ac:dyDescent="0.3">
      <c r="A56" s="16" t="s">
        <v>11</v>
      </c>
      <c r="B56" s="16" t="s">
        <v>39</v>
      </c>
      <c r="C56" s="9">
        <v>2675</v>
      </c>
      <c r="D56" s="9">
        <v>2242</v>
      </c>
      <c r="E56" s="9">
        <v>0</v>
      </c>
      <c r="F56" s="9">
        <v>0</v>
      </c>
      <c r="G56" s="9">
        <v>112</v>
      </c>
      <c r="H56" s="9">
        <v>75</v>
      </c>
      <c r="I56" s="9">
        <v>69</v>
      </c>
      <c r="J56" s="9">
        <v>44</v>
      </c>
      <c r="K56" s="2">
        <f>SUM(C56:D56,E56:F56,G56:H56,I56:J56)</f>
        <v>5217</v>
      </c>
    </row>
    <row r="57" spans="1:11" x14ac:dyDescent="0.3">
      <c r="A57" s="16" t="s">
        <v>61</v>
      </c>
      <c r="B57" s="16" t="s">
        <v>39</v>
      </c>
      <c r="C57" s="9">
        <v>461</v>
      </c>
      <c r="D57" s="9">
        <v>517</v>
      </c>
      <c r="E57" s="9">
        <v>0</v>
      </c>
      <c r="F57" s="9">
        <v>0</v>
      </c>
      <c r="G57" s="9">
        <v>90</v>
      </c>
      <c r="H57" s="9">
        <v>64</v>
      </c>
      <c r="I57" s="9">
        <v>11</v>
      </c>
      <c r="J57" s="9">
        <v>4</v>
      </c>
      <c r="K57" s="2">
        <f>SUM(C57:D57,E57:F57,G57:H57,I57:J57)</f>
        <v>1147</v>
      </c>
    </row>
    <row r="58" spans="1:11" x14ac:dyDescent="0.3">
      <c r="A58" s="16" t="s">
        <v>13</v>
      </c>
      <c r="B58" s="16" t="s">
        <v>39</v>
      </c>
      <c r="C58" s="9">
        <v>1074</v>
      </c>
      <c r="D58" s="9">
        <v>853</v>
      </c>
      <c r="E58" s="9">
        <v>5</v>
      </c>
      <c r="F58" s="9">
        <v>1</v>
      </c>
      <c r="G58" s="9">
        <v>158</v>
      </c>
      <c r="H58" s="9">
        <v>105</v>
      </c>
      <c r="I58" s="9">
        <v>33</v>
      </c>
      <c r="J58" s="9">
        <v>22</v>
      </c>
      <c r="K58" s="2">
        <f>SUM(C58:D58,E58:F58,G58:H58,I58:J58)</f>
        <v>2251</v>
      </c>
    </row>
    <row r="59" spans="1:11" x14ac:dyDescent="0.3">
      <c r="A59" s="16" t="s">
        <v>21</v>
      </c>
      <c r="B59" s="16" t="s">
        <v>39</v>
      </c>
      <c r="C59" s="9">
        <v>14734</v>
      </c>
      <c r="D59" s="9">
        <v>9284</v>
      </c>
      <c r="E59" s="9">
        <v>102</v>
      </c>
      <c r="F59" s="9">
        <v>62</v>
      </c>
      <c r="G59" s="9">
        <v>1108</v>
      </c>
      <c r="H59" s="9">
        <v>613</v>
      </c>
      <c r="I59" s="9">
        <v>35</v>
      </c>
      <c r="J59" s="9">
        <v>26</v>
      </c>
      <c r="K59" s="2">
        <f>SUM(C59:D59,E59:F59,G59:H59,I59:J59)</f>
        <v>25964</v>
      </c>
    </row>
    <row r="60" spans="1:11" x14ac:dyDescent="0.3">
      <c r="A60" s="13" t="s">
        <v>140</v>
      </c>
      <c r="B60" s="16" t="s">
        <v>39</v>
      </c>
      <c r="C60" s="9">
        <v>0</v>
      </c>
      <c r="D60" s="9">
        <v>0</v>
      </c>
      <c r="E60" s="9">
        <v>0</v>
      </c>
      <c r="F60" s="9">
        <v>0</v>
      </c>
      <c r="G60" s="9">
        <v>553</v>
      </c>
      <c r="H60" s="9">
        <v>46</v>
      </c>
      <c r="I60" s="9">
        <v>93</v>
      </c>
      <c r="J60" s="9">
        <v>8</v>
      </c>
      <c r="K60" s="2">
        <f>SUM(C60:D60,E60:F60,G60:H60,I60:J60)</f>
        <v>700</v>
      </c>
    </row>
    <row r="61" spans="1:11" x14ac:dyDescent="0.3">
      <c r="A61" s="16" t="s">
        <v>106</v>
      </c>
      <c r="B61" s="16" t="s">
        <v>39</v>
      </c>
      <c r="C61" s="9">
        <v>196</v>
      </c>
      <c r="D61" s="9">
        <v>85</v>
      </c>
      <c r="E61" s="9">
        <v>0</v>
      </c>
      <c r="F61" s="9">
        <v>0</v>
      </c>
      <c r="G61" s="9">
        <v>38</v>
      </c>
      <c r="H61" s="9">
        <v>19</v>
      </c>
      <c r="I61" s="9">
        <v>0</v>
      </c>
      <c r="J61" s="9">
        <v>0</v>
      </c>
      <c r="K61" s="2">
        <f>SUM(C61:D61,E61:F61,G61:H61,I61:J61)</f>
        <v>338</v>
      </c>
    </row>
    <row r="62" spans="1:11" x14ac:dyDescent="0.3">
      <c r="A62" s="16" t="s">
        <v>107</v>
      </c>
      <c r="B62" s="16" t="s">
        <v>99</v>
      </c>
      <c r="C62" s="9">
        <v>0</v>
      </c>
      <c r="D62" s="9">
        <v>1603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2">
        <f>SUM(C62:D62,E62:F62,G62:H62,I62:J62)</f>
        <v>1603</v>
      </c>
    </row>
    <row r="63" spans="1:11" x14ac:dyDescent="0.3">
      <c r="A63" s="16" t="s">
        <v>85</v>
      </c>
      <c r="B63" s="16" t="s">
        <v>99</v>
      </c>
      <c r="C63" s="9">
        <v>4</v>
      </c>
      <c r="D63" s="9">
        <v>48</v>
      </c>
      <c r="E63" s="9">
        <v>0</v>
      </c>
      <c r="F63" s="9">
        <v>0</v>
      </c>
      <c r="G63" s="9">
        <v>65</v>
      </c>
      <c r="H63" s="9">
        <v>47</v>
      </c>
      <c r="I63" s="9">
        <v>0</v>
      </c>
      <c r="J63" s="9">
        <v>0</v>
      </c>
      <c r="K63" s="2">
        <f>SUM(C63:D63,E63:F63,G63:H63,I63:J63)</f>
        <v>164</v>
      </c>
    </row>
    <row r="64" spans="1:11" x14ac:dyDescent="0.3">
      <c r="A64" s="16" t="s">
        <v>86</v>
      </c>
      <c r="B64" s="16" t="s">
        <v>99</v>
      </c>
      <c r="C64" s="9">
        <v>146</v>
      </c>
      <c r="D64" s="9">
        <v>176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2">
        <f>SUM(C64:D64,E64:F64,G64:H64,I64:J64)</f>
        <v>322</v>
      </c>
    </row>
    <row r="65" spans="1:11" x14ac:dyDescent="0.3">
      <c r="A65" s="16" t="s">
        <v>91</v>
      </c>
      <c r="B65" s="16" t="s">
        <v>99</v>
      </c>
      <c r="C65" s="9">
        <v>264</v>
      </c>
      <c r="D65" s="9">
        <v>245</v>
      </c>
      <c r="E65" s="9">
        <v>0</v>
      </c>
      <c r="F65" s="9">
        <v>0</v>
      </c>
      <c r="G65" s="9">
        <v>11</v>
      </c>
      <c r="H65" s="9">
        <v>7</v>
      </c>
      <c r="I65" s="9">
        <v>0</v>
      </c>
      <c r="J65" s="9">
        <v>0</v>
      </c>
      <c r="K65" s="2">
        <f>SUM(C65:D65,E65:F65,G65:H65,I65:J65)</f>
        <v>527</v>
      </c>
    </row>
    <row r="66" spans="1:11" x14ac:dyDescent="0.3">
      <c r="A66" s="16" t="s">
        <v>93</v>
      </c>
      <c r="B66" s="16" t="s">
        <v>99</v>
      </c>
      <c r="C66" s="9">
        <v>461</v>
      </c>
      <c r="D66" s="9">
        <v>276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2">
        <f>SUM(C66:D66,E66:F66,G66:H66,I66:J66)</f>
        <v>737</v>
      </c>
    </row>
    <row r="67" spans="1:11" x14ac:dyDescent="0.3">
      <c r="A67" s="16" t="s">
        <v>89</v>
      </c>
      <c r="B67" s="16" t="s">
        <v>99</v>
      </c>
      <c r="C67" s="9">
        <v>871</v>
      </c>
      <c r="D67" s="9">
        <v>993</v>
      </c>
      <c r="E67" s="9">
        <v>0</v>
      </c>
      <c r="F67" s="9">
        <v>0</v>
      </c>
      <c r="G67" s="9">
        <v>108</v>
      </c>
      <c r="H67" s="9">
        <v>98</v>
      </c>
      <c r="I67" s="9">
        <v>65</v>
      </c>
      <c r="J67" s="9">
        <v>22</v>
      </c>
      <c r="K67" s="2">
        <f>SUM(C67:D67,E67:F67,G67:H67,I67:J67)</f>
        <v>2157</v>
      </c>
    </row>
    <row r="68" spans="1:11" x14ac:dyDescent="0.3">
      <c r="A68" s="16" t="s">
        <v>92</v>
      </c>
      <c r="B68" s="16" t="s">
        <v>99</v>
      </c>
      <c r="C68" s="9">
        <v>451</v>
      </c>
      <c r="D68" s="9">
        <v>411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2">
        <f>SUM(C68:D68,E68:F68,G68:H68,I68:J68)</f>
        <v>862</v>
      </c>
    </row>
    <row r="69" spans="1:11" x14ac:dyDescent="0.3">
      <c r="A69" s="16" t="s">
        <v>90</v>
      </c>
      <c r="B69" s="16" t="s">
        <v>99</v>
      </c>
      <c r="C69" s="9">
        <v>275</v>
      </c>
      <c r="D69" s="9">
        <v>248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2">
        <f>SUM(C69:D69,E69:F69,G69:H69,I69:J69)</f>
        <v>523</v>
      </c>
    </row>
    <row r="70" spans="1:11" x14ac:dyDescent="0.3">
      <c r="A70" s="16" t="s">
        <v>94</v>
      </c>
      <c r="B70" s="16" t="s">
        <v>99</v>
      </c>
      <c r="C70" s="9">
        <v>373</v>
      </c>
      <c r="D70" s="9">
        <v>221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2">
        <f>SUM(C70:D70,E70:F70,G70:H70,I70:J70)</f>
        <v>594</v>
      </c>
    </row>
    <row r="71" spans="1:11" x14ac:dyDescent="0.3">
      <c r="A71" s="16" t="s">
        <v>87</v>
      </c>
      <c r="B71" s="16" t="s">
        <v>99</v>
      </c>
      <c r="C71" s="9">
        <v>21</v>
      </c>
      <c r="D71" s="9">
        <v>10</v>
      </c>
      <c r="E71" s="9">
        <v>0</v>
      </c>
      <c r="F71" s="9">
        <v>0</v>
      </c>
      <c r="G71" s="9">
        <v>39</v>
      </c>
      <c r="H71" s="9">
        <v>32</v>
      </c>
      <c r="I71" s="9">
        <v>12</v>
      </c>
      <c r="J71" s="9">
        <v>15</v>
      </c>
      <c r="K71" s="2">
        <f>SUM(C71:D71,E71:F71,G71:H71,I71:J71)</f>
        <v>129</v>
      </c>
    </row>
    <row r="72" spans="1:11" x14ac:dyDescent="0.3">
      <c r="A72" s="16" t="s">
        <v>95</v>
      </c>
      <c r="B72" s="16" t="s">
        <v>99</v>
      </c>
      <c r="C72" s="9">
        <v>231</v>
      </c>
      <c r="D72" s="9">
        <v>172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2">
        <f>SUM(C72:D72,E72:F72,G72:H72,I72:J72)</f>
        <v>403</v>
      </c>
    </row>
    <row r="73" spans="1:11" x14ac:dyDescent="0.3">
      <c r="A73" s="16" t="s">
        <v>88</v>
      </c>
      <c r="B73" s="16" t="s">
        <v>99</v>
      </c>
      <c r="C73" s="9">
        <v>84</v>
      </c>
      <c r="D73" s="9">
        <v>100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2">
        <f>SUM(C73:D73,E73:F73,G73:H73,I73:J73)</f>
        <v>184</v>
      </c>
    </row>
    <row r="74" spans="1:11" x14ac:dyDescent="0.3">
      <c r="B74" s="40" t="s">
        <v>47</v>
      </c>
      <c r="C74" s="2">
        <f>SUM(C4:C73)</f>
        <v>273840</v>
      </c>
      <c r="D74" s="2">
        <f t="shared" ref="D74:K74" si="0">SUM(D4:D73)</f>
        <v>204931</v>
      </c>
      <c r="E74" s="2">
        <f t="shared" si="0"/>
        <v>620</v>
      </c>
      <c r="F74" s="2">
        <f t="shared" si="0"/>
        <v>480</v>
      </c>
      <c r="G74" s="2">
        <f t="shared" si="0"/>
        <v>33081</v>
      </c>
      <c r="H74" s="2">
        <f t="shared" si="0"/>
        <v>25291</v>
      </c>
      <c r="I74" s="2">
        <f t="shared" si="0"/>
        <v>6180</v>
      </c>
      <c r="J74" s="2">
        <f t="shared" si="0"/>
        <v>3452</v>
      </c>
      <c r="K74" s="2">
        <f t="shared" si="0"/>
        <v>547875</v>
      </c>
    </row>
  </sheetData>
  <mergeCells count="4">
    <mergeCell ref="G2:H2"/>
    <mergeCell ref="I2:J2"/>
    <mergeCell ref="C2:D2"/>
    <mergeCell ref="E2:F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BF65-CBFF-4144-8604-0B1BFC5CEEC2}">
  <dimension ref="A1:K56"/>
  <sheetViews>
    <sheetView zoomScale="55" zoomScaleNormal="55" workbookViewId="0">
      <selection activeCell="B20" sqref="B20"/>
    </sheetView>
  </sheetViews>
  <sheetFormatPr defaultRowHeight="15" x14ac:dyDescent="0.3"/>
  <cols>
    <col min="1" max="1" width="47.125" style="54" bestFit="1" customWidth="1"/>
    <col min="2" max="2" width="47.125" style="54" customWidth="1"/>
    <col min="3" max="3" width="12.125" style="52" bestFit="1" customWidth="1"/>
    <col min="4" max="4" width="26.5" style="52" bestFit="1" customWidth="1"/>
    <col min="5" max="5" width="10.125" style="52" bestFit="1" customWidth="1"/>
    <col min="6" max="6" width="11.75" style="52" bestFit="1" customWidth="1"/>
    <col min="7" max="7" width="12.125" style="52" bestFit="1" customWidth="1"/>
    <col min="8" max="8" width="26.5" style="52" bestFit="1" customWidth="1"/>
    <col min="9" max="9" width="10.125" style="52" bestFit="1" customWidth="1"/>
    <col min="10" max="10" width="11.75" style="52" bestFit="1" customWidth="1"/>
    <col min="11" max="11" width="9" style="31"/>
    <col min="12" max="16384" width="9" style="30"/>
  </cols>
  <sheetData>
    <row r="1" spans="1:10" ht="15.6" x14ac:dyDescent="0.3">
      <c r="A1" s="49" t="s">
        <v>159</v>
      </c>
      <c r="B1" s="49"/>
      <c r="C1" s="50"/>
      <c r="D1" s="50"/>
      <c r="E1" s="50"/>
    </row>
    <row r="2" spans="1:10" x14ac:dyDescent="0.3">
      <c r="A2" s="71"/>
      <c r="B2" s="70"/>
      <c r="C2" s="72">
        <v>2015</v>
      </c>
      <c r="D2" s="73"/>
      <c r="E2" s="73"/>
      <c r="F2" s="74"/>
      <c r="G2" s="72">
        <v>2016</v>
      </c>
      <c r="H2" s="73"/>
      <c r="I2" s="73"/>
      <c r="J2" s="74"/>
    </row>
    <row r="3" spans="1:10" x14ac:dyDescent="0.3">
      <c r="A3" s="70" t="s">
        <v>64</v>
      </c>
      <c r="B3" s="70" t="s">
        <v>46</v>
      </c>
      <c r="C3" s="75" t="s">
        <v>2</v>
      </c>
      <c r="D3" s="56" t="s">
        <v>41</v>
      </c>
      <c r="E3" s="56" t="s">
        <v>3</v>
      </c>
      <c r="F3" s="62" t="s">
        <v>4</v>
      </c>
      <c r="G3" s="75" t="s">
        <v>2</v>
      </c>
      <c r="H3" s="56" t="s">
        <v>41</v>
      </c>
      <c r="I3" s="56" t="s">
        <v>3</v>
      </c>
      <c r="J3" s="62" t="s">
        <v>4</v>
      </c>
    </row>
    <row r="4" spans="1:10" x14ac:dyDescent="0.3">
      <c r="A4" s="60" t="s">
        <v>7</v>
      </c>
      <c r="B4" s="60" t="s">
        <v>153</v>
      </c>
      <c r="C4" s="76">
        <v>1240</v>
      </c>
      <c r="D4" s="52">
        <v>8</v>
      </c>
      <c r="E4" s="52">
        <v>59</v>
      </c>
      <c r="F4" s="64">
        <v>3</v>
      </c>
      <c r="G4" s="76">
        <v>1313</v>
      </c>
      <c r="H4" s="52">
        <v>18</v>
      </c>
      <c r="I4" s="52">
        <v>35</v>
      </c>
      <c r="J4" s="64">
        <v>12</v>
      </c>
    </row>
    <row r="5" spans="1:10" x14ac:dyDescent="0.3">
      <c r="A5" s="60" t="s">
        <v>143</v>
      </c>
      <c r="B5" s="60" t="s">
        <v>153</v>
      </c>
      <c r="C5" s="76">
        <v>0</v>
      </c>
      <c r="D5" s="52">
        <v>0</v>
      </c>
      <c r="E5" s="52">
        <v>0</v>
      </c>
      <c r="F5" s="64">
        <v>0</v>
      </c>
      <c r="G5" s="76">
        <v>351</v>
      </c>
      <c r="H5" s="52">
        <v>0</v>
      </c>
      <c r="I5" s="52">
        <v>0</v>
      </c>
      <c r="J5" s="64">
        <v>0</v>
      </c>
    </row>
    <row r="6" spans="1:10" x14ac:dyDescent="0.3">
      <c r="A6" s="60" t="s">
        <v>52</v>
      </c>
      <c r="B6" s="60" t="s">
        <v>153</v>
      </c>
      <c r="C6" s="76">
        <v>1082</v>
      </c>
      <c r="D6" s="52">
        <v>0</v>
      </c>
      <c r="E6" s="58">
        <v>35</v>
      </c>
      <c r="F6" s="64">
        <v>5</v>
      </c>
      <c r="G6" s="76">
        <v>1576</v>
      </c>
      <c r="H6" s="52">
        <v>0</v>
      </c>
      <c r="I6" s="52">
        <v>154</v>
      </c>
      <c r="J6" s="64">
        <v>9</v>
      </c>
    </row>
    <row r="7" spans="1:10" x14ac:dyDescent="0.3">
      <c r="A7" s="60" t="s">
        <v>9</v>
      </c>
      <c r="B7" s="60" t="s">
        <v>153</v>
      </c>
      <c r="C7" s="76">
        <v>5180</v>
      </c>
      <c r="D7" s="52">
        <v>0</v>
      </c>
      <c r="E7" s="58">
        <v>202</v>
      </c>
      <c r="F7" s="64">
        <v>22</v>
      </c>
      <c r="G7" s="76">
        <v>4241</v>
      </c>
      <c r="H7" s="52">
        <v>0</v>
      </c>
      <c r="I7" s="52">
        <v>1248</v>
      </c>
      <c r="J7" s="64">
        <v>23</v>
      </c>
    </row>
    <row r="8" spans="1:10" x14ac:dyDescent="0.3">
      <c r="A8" s="60" t="s">
        <v>154</v>
      </c>
      <c r="B8" s="60" t="s">
        <v>153</v>
      </c>
      <c r="C8" s="76">
        <v>5471</v>
      </c>
      <c r="D8" s="52">
        <v>66</v>
      </c>
      <c r="E8" s="58">
        <v>804</v>
      </c>
      <c r="F8" s="64">
        <v>102</v>
      </c>
      <c r="G8" s="76">
        <v>6365</v>
      </c>
      <c r="H8" s="52">
        <v>11</v>
      </c>
      <c r="I8" s="52">
        <v>62</v>
      </c>
      <c r="J8" s="64">
        <v>154</v>
      </c>
    </row>
    <row r="9" spans="1:10" x14ac:dyDescent="0.3">
      <c r="A9" s="60" t="s">
        <v>155</v>
      </c>
      <c r="B9" s="60" t="s">
        <v>153</v>
      </c>
      <c r="C9" s="76">
        <v>521</v>
      </c>
      <c r="D9" s="52">
        <v>0</v>
      </c>
      <c r="E9" s="58">
        <v>87</v>
      </c>
      <c r="F9" s="64">
        <v>17</v>
      </c>
      <c r="G9" s="76">
        <v>805</v>
      </c>
      <c r="H9" s="52">
        <v>0</v>
      </c>
      <c r="I9" s="52">
        <v>10</v>
      </c>
      <c r="J9" s="64">
        <v>19</v>
      </c>
    </row>
    <row r="10" spans="1:10" x14ac:dyDescent="0.3">
      <c r="A10" s="60" t="s">
        <v>12</v>
      </c>
      <c r="B10" s="60" t="s">
        <v>153</v>
      </c>
      <c r="C10" s="76">
        <v>815</v>
      </c>
      <c r="D10" s="52">
        <v>0</v>
      </c>
      <c r="E10" s="58">
        <v>8</v>
      </c>
      <c r="F10" s="64">
        <v>0</v>
      </c>
      <c r="G10" s="76">
        <v>933</v>
      </c>
      <c r="H10" s="52">
        <v>0</v>
      </c>
      <c r="I10" s="52">
        <v>813</v>
      </c>
      <c r="J10" s="64">
        <v>2</v>
      </c>
    </row>
    <row r="11" spans="1:10" x14ac:dyDescent="0.3">
      <c r="A11" s="60" t="s">
        <v>15</v>
      </c>
      <c r="B11" s="60" t="s">
        <v>153</v>
      </c>
      <c r="C11" s="76">
        <v>9195</v>
      </c>
      <c r="D11" s="52">
        <v>31</v>
      </c>
      <c r="E11" s="58">
        <v>1177</v>
      </c>
      <c r="F11" s="64">
        <v>107</v>
      </c>
      <c r="G11" s="76">
        <v>8082</v>
      </c>
      <c r="H11" s="52">
        <v>41</v>
      </c>
      <c r="I11" s="52">
        <v>11</v>
      </c>
      <c r="J11" s="64">
        <v>98</v>
      </c>
    </row>
    <row r="12" spans="1:10" x14ac:dyDescent="0.3">
      <c r="A12" s="60" t="s">
        <v>16</v>
      </c>
      <c r="B12" s="60" t="s">
        <v>153</v>
      </c>
      <c r="C12" s="76">
        <v>0</v>
      </c>
      <c r="D12" s="52">
        <v>0</v>
      </c>
      <c r="E12" s="58">
        <v>0</v>
      </c>
      <c r="F12" s="64">
        <v>0</v>
      </c>
      <c r="G12" s="76">
        <v>492</v>
      </c>
      <c r="H12" s="52">
        <v>3</v>
      </c>
      <c r="I12" s="52">
        <v>81</v>
      </c>
      <c r="J12" s="64">
        <v>1</v>
      </c>
    </row>
    <row r="13" spans="1:10" x14ac:dyDescent="0.3">
      <c r="A13" s="60" t="s">
        <v>18</v>
      </c>
      <c r="B13" s="60" t="s">
        <v>153</v>
      </c>
      <c r="C13" s="76">
        <v>2422</v>
      </c>
      <c r="D13" s="52">
        <v>12</v>
      </c>
      <c r="E13" s="58">
        <v>129</v>
      </c>
      <c r="F13" s="64">
        <v>0</v>
      </c>
      <c r="G13" s="76">
        <v>2131</v>
      </c>
      <c r="H13" s="52">
        <v>51</v>
      </c>
      <c r="I13" s="52">
        <v>16</v>
      </c>
      <c r="J13" s="64">
        <v>0</v>
      </c>
    </row>
    <row r="14" spans="1:10" x14ac:dyDescent="0.3">
      <c r="A14" s="60" t="s">
        <v>19</v>
      </c>
      <c r="B14" s="60" t="s">
        <v>153</v>
      </c>
      <c r="C14" s="76">
        <v>1446</v>
      </c>
      <c r="D14" s="52">
        <v>4</v>
      </c>
      <c r="E14" s="58">
        <v>33</v>
      </c>
      <c r="F14" s="64">
        <v>4</v>
      </c>
      <c r="G14" s="76">
        <v>1560</v>
      </c>
      <c r="H14" s="52">
        <v>10</v>
      </c>
      <c r="I14" s="52">
        <v>4</v>
      </c>
      <c r="J14" s="64">
        <v>1</v>
      </c>
    </row>
    <row r="15" spans="1:10" x14ac:dyDescent="0.3">
      <c r="A15" s="60" t="s">
        <v>54</v>
      </c>
      <c r="B15" s="60" t="s">
        <v>153</v>
      </c>
      <c r="C15" s="76">
        <v>0</v>
      </c>
      <c r="D15" s="52">
        <v>0</v>
      </c>
      <c r="F15" s="64">
        <v>0</v>
      </c>
      <c r="G15" s="76">
        <v>207</v>
      </c>
      <c r="H15" s="52">
        <v>3</v>
      </c>
      <c r="I15" s="52">
        <v>0</v>
      </c>
      <c r="J15" s="64">
        <v>1</v>
      </c>
    </row>
    <row r="16" spans="1:10" x14ac:dyDescent="0.3">
      <c r="A16" s="60" t="s">
        <v>53</v>
      </c>
      <c r="B16" s="60" t="s">
        <v>153</v>
      </c>
      <c r="C16" s="76">
        <v>766</v>
      </c>
      <c r="D16" s="52">
        <v>0</v>
      </c>
      <c r="E16" s="58">
        <v>3</v>
      </c>
      <c r="F16" s="64">
        <v>4</v>
      </c>
      <c r="G16" s="76">
        <v>952</v>
      </c>
      <c r="H16" s="52">
        <v>2</v>
      </c>
      <c r="I16" s="58">
        <v>4</v>
      </c>
      <c r="J16" s="64">
        <v>4</v>
      </c>
    </row>
    <row r="17" spans="1:11" x14ac:dyDescent="0.3">
      <c r="A17" s="60" t="s">
        <v>71</v>
      </c>
      <c r="B17" s="60" t="s">
        <v>153</v>
      </c>
      <c r="C17" s="76">
        <v>809</v>
      </c>
      <c r="D17" s="52">
        <v>0</v>
      </c>
      <c r="F17" s="64">
        <v>0</v>
      </c>
      <c r="G17" s="76">
        <v>539</v>
      </c>
      <c r="H17" s="52">
        <v>0</v>
      </c>
      <c r="I17" s="52">
        <v>0</v>
      </c>
      <c r="J17" s="64">
        <v>0</v>
      </c>
    </row>
    <row r="18" spans="1:11" x14ac:dyDescent="0.3">
      <c r="A18" s="60" t="s">
        <v>156</v>
      </c>
      <c r="B18" s="60" t="s">
        <v>153</v>
      </c>
      <c r="C18" s="76">
        <v>3048</v>
      </c>
      <c r="D18" s="52">
        <v>0</v>
      </c>
      <c r="E18" s="58">
        <v>83</v>
      </c>
      <c r="F18" s="64">
        <v>39</v>
      </c>
      <c r="G18" s="76">
        <v>2506</v>
      </c>
      <c r="H18" s="52">
        <v>0</v>
      </c>
      <c r="I18" s="52">
        <v>109</v>
      </c>
      <c r="J18" s="64">
        <v>0</v>
      </c>
    </row>
    <row r="19" spans="1:11" x14ac:dyDescent="0.3">
      <c r="A19" s="60" t="s">
        <v>55</v>
      </c>
      <c r="B19" s="60" t="s">
        <v>153</v>
      </c>
      <c r="C19" s="76">
        <v>2871</v>
      </c>
      <c r="D19" s="52">
        <v>27</v>
      </c>
      <c r="E19" s="58">
        <v>89</v>
      </c>
      <c r="F19" s="64">
        <v>23</v>
      </c>
      <c r="G19" s="76">
        <v>2091</v>
      </c>
      <c r="H19" s="52">
        <v>45</v>
      </c>
      <c r="I19" s="52">
        <v>345</v>
      </c>
      <c r="J19" s="64">
        <v>33</v>
      </c>
    </row>
    <row r="20" spans="1:11" x14ac:dyDescent="0.3">
      <c r="A20" s="60" t="s">
        <v>57</v>
      </c>
      <c r="B20" s="60" t="s">
        <v>153</v>
      </c>
      <c r="C20" s="76">
        <v>3857</v>
      </c>
      <c r="D20" s="52">
        <v>6</v>
      </c>
      <c r="E20" s="58">
        <v>594</v>
      </c>
      <c r="F20" s="64">
        <v>43</v>
      </c>
      <c r="G20" s="76">
        <v>6331</v>
      </c>
      <c r="H20" s="52">
        <v>16</v>
      </c>
      <c r="I20" s="52">
        <v>23</v>
      </c>
      <c r="J20" s="64">
        <v>91</v>
      </c>
    </row>
    <row r="21" spans="1:11" x14ac:dyDescent="0.3">
      <c r="A21" s="60" t="s">
        <v>157</v>
      </c>
      <c r="B21" s="60" t="s">
        <v>153</v>
      </c>
      <c r="C21" s="76">
        <v>525</v>
      </c>
      <c r="D21" s="52">
        <v>0</v>
      </c>
      <c r="E21" s="58">
        <v>17</v>
      </c>
      <c r="F21" s="64">
        <v>0</v>
      </c>
      <c r="G21" s="76">
        <v>983</v>
      </c>
      <c r="H21" s="52">
        <v>0</v>
      </c>
      <c r="I21" s="52">
        <v>0</v>
      </c>
      <c r="J21" s="64">
        <v>0</v>
      </c>
    </row>
    <row r="22" spans="1:11" x14ac:dyDescent="0.3">
      <c r="A22" s="60" t="s">
        <v>24</v>
      </c>
      <c r="B22" s="60" t="s">
        <v>153</v>
      </c>
      <c r="C22" s="76">
        <v>43</v>
      </c>
      <c r="D22" s="52">
        <v>0</v>
      </c>
      <c r="E22" s="58">
        <v>11</v>
      </c>
      <c r="F22" s="64">
        <v>0</v>
      </c>
      <c r="G22" s="76">
        <v>625</v>
      </c>
      <c r="H22" s="52">
        <v>0</v>
      </c>
      <c r="I22" s="52">
        <v>48</v>
      </c>
      <c r="J22" s="64">
        <v>3</v>
      </c>
    </row>
    <row r="23" spans="1:11" x14ac:dyDescent="0.3">
      <c r="A23" s="60" t="s">
        <v>26</v>
      </c>
      <c r="B23" s="60" t="s">
        <v>153</v>
      </c>
      <c r="C23" s="76">
        <v>351</v>
      </c>
      <c r="D23" s="52">
        <v>31</v>
      </c>
      <c r="E23" s="58">
        <v>31</v>
      </c>
      <c r="F23" s="64">
        <v>0</v>
      </c>
      <c r="G23" s="76">
        <v>743</v>
      </c>
      <c r="H23" s="52">
        <v>49</v>
      </c>
      <c r="I23" s="58">
        <v>48</v>
      </c>
      <c r="J23" s="64">
        <v>1</v>
      </c>
    </row>
    <row r="24" spans="1:11" x14ac:dyDescent="0.3">
      <c r="A24" s="60" t="s">
        <v>30</v>
      </c>
      <c r="B24" s="60" t="s">
        <v>153</v>
      </c>
      <c r="C24" s="76">
        <v>1243</v>
      </c>
      <c r="D24" s="52">
        <v>0</v>
      </c>
      <c r="F24" s="64">
        <v>0</v>
      </c>
      <c r="G24" s="76">
        <v>1901</v>
      </c>
      <c r="H24" s="52">
        <v>0</v>
      </c>
      <c r="I24" s="52">
        <v>0</v>
      </c>
      <c r="J24" s="64">
        <v>0</v>
      </c>
    </row>
    <row r="25" spans="1:11" x14ac:dyDescent="0.3">
      <c r="A25" s="60" t="s">
        <v>59</v>
      </c>
      <c r="B25" s="60" t="s">
        <v>153</v>
      </c>
      <c r="C25" s="76">
        <v>47</v>
      </c>
      <c r="D25" s="52">
        <v>257</v>
      </c>
      <c r="E25" s="58">
        <v>7</v>
      </c>
      <c r="F25" s="64">
        <v>0</v>
      </c>
      <c r="G25" s="76">
        <v>43</v>
      </c>
      <c r="H25" s="52">
        <v>1009</v>
      </c>
      <c r="I25" s="52">
        <v>238</v>
      </c>
      <c r="J25" s="64">
        <v>0</v>
      </c>
    </row>
    <row r="26" spans="1:11" x14ac:dyDescent="0.3">
      <c r="A26" s="60" t="s">
        <v>31</v>
      </c>
      <c r="B26" s="60" t="s">
        <v>153</v>
      </c>
      <c r="C26" s="76">
        <v>1896</v>
      </c>
      <c r="D26" s="52">
        <v>0</v>
      </c>
      <c r="E26" s="58">
        <v>60</v>
      </c>
      <c r="F26" s="64">
        <v>8</v>
      </c>
      <c r="G26" s="76">
        <v>1931</v>
      </c>
      <c r="H26" s="52">
        <v>205</v>
      </c>
      <c r="I26" s="52">
        <v>3</v>
      </c>
      <c r="J26" s="64">
        <v>27</v>
      </c>
    </row>
    <row r="27" spans="1:11" x14ac:dyDescent="0.3">
      <c r="A27" s="60" t="s">
        <v>32</v>
      </c>
      <c r="B27" s="60" t="s">
        <v>153</v>
      </c>
      <c r="C27" s="76">
        <v>0</v>
      </c>
      <c r="D27" s="52">
        <v>0</v>
      </c>
      <c r="E27" s="58">
        <v>0</v>
      </c>
      <c r="F27" s="64">
        <v>0</v>
      </c>
      <c r="G27" s="76">
        <v>95</v>
      </c>
      <c r="H27" s="52">
        <v>0</v>
      </c>
      <c r="I27" s="52">
        <v>17</v>
      </c>
      <c r="J27" s="64">
        <v>0</v>
      </c>
    </row>
    <row r="28" spans="1:11" x14ac:dyDescent="0.3">
      <c r="A28" s="60" t="s">
        <v>33</v>
      </c>
      <c r="B28" s="60" t="s">
        <v>153</v>
      </c>
      <c r="C28" s="76">
        <v>0</v>
      </c>
      <c r="D28" s="52">
        <v>0</v>
      </c>
      <c r="E28" s="58">
        <v>0</v>
      </c>
      <c r="F28" s="64">
        <v>0</v>
      </c>
      <c r="G28" s="76">
        <v>1567</v>
      </c>
      <c r="H28" s="52">
        <v>0</v>
      </c>
      <c r="I28" s="52">
        <v>2881</v>
      </c>
      <c r="J28" s="64">
        <v>0</v>
      </c>
    </row>
    <row r="29" spans="1:11" x14ac:dyDescent="0.3">
      <c r="A29" s="60" t="s">
        <v>34</v>
      </c>
      <c r="B29" s="60" t="s">
        <v>153</v>
      </c>
      <c r="C29" s="76">
        <v>8117</v>
      </c>
      <c r="D29" s="52">
        <v>59</v>
      </c>
      <c r="E29" s="58">
        <v>3197</v>
      </c>
      <c r="F29" s="64">
        <v>115</v>
      </c>
      <c r="G29" s="76">
        <v>7822</v>
      </c>
      <c r="H29" s="52">
        <v>62</v>
      </c>
      <c r="I29" s="52">
        <v>6151</v>
      </c>
      <c r="J29" s="64">
        <v>103</v>
      </c>
    </row>
    <row r="30" spans="1:11" s="10" customFormat="1" ht="16.5" customHeight="1" x14ac:dyDescent="0.3">
      <c r="A30" s="60" t="s">
        <v>5</v>
      </c>
      <c r="B30" s="57" t="s">
        <v>158</v>
      </c>
      <c r="C30" s="76">
        <v>86</v>
      </c>
      <c r="D30" s="52">
        <v>1</v>
      </c>
      <c r="E30" s="52">
        <v>25</v>
      </c>
      <c r="F30" s="63">
        <v>8</v>
      </c>
      <c r="G30" s="76">
        <v>67</v>
      </c>
      <c r="H30" s="58">
        <v>3</v>
      </c>
      <c r="I30" s="52">
        <v>67</v>
      </c>
      <c r="J30" s="63">
        <v>1</v>
      </c>
      <c r="K30" s="6"/>
    </row>
    <row r="31" spans="1:11" s="10" customFormat="1" ht="16.5" customHeight="1" x14ac:dyDescent="0.3">
      <c r="A31" s="60" t="s">
        <v>6</v>
      </c>
      <c r="B31" s="57" t="s">
        <v>158</v>
      </c>
      <c r="C31" s="76">
        <v>873</v>
      </c>
      <c r="D31" s="52">
        <v>0</v>
      </c>
      <c r="E31" s="52">
        <v>116</v>
      </c>
      <c r="F31" s="63">
        <v>0</v>
      </c>
      <c r="G31" s="76">
        <v>1007</v>
      </c>
      <c r="H31" s="58">
        <v>1</v>
      </c>
      <c r="I31" s="52">
        <v>144</v>
      </c>
      <c r="J31" s="63">
        <v>0</v>
      </c>
      <c r="K31" s="6"/>
    </row>
    <row r="32" spans="1:11" s="10" customFormat="1" ht="16.5" customHeight="1" x14ac:dyDescent="0.3">
      <c r="A32" s="60" t="s">
        <v>8</v>
      </c>
      <c r="B32" s="57" t="s">
        <v>158</v>
      </c>
      <c r="C32" s="76">
        <v>750</v>
      </c>
      <c r="D32" s="52">
        <v>0</v>
      </c>
      <c r="E32" s="52">
        <v>95</v>
      </c>
      <c r="F32" s="63">
        <v>1</v>
      </c>
      <c r="G32" s="76">
        <v>669</v>
      </c>
      <c r="H32" s="58">
        <v>16</v>
      </c>
      <c r="I32" s="52">
        <v>222</v>
      </c>
      <c r="J32" s="63">
        <v>9</v>
      </c>
      <c r="K32" s="6"/>
    </row>
    <row r="33" spans="1:11" s="10" customFormat="1" ht="16.5" customHeight="1" x14ac:dyDescent="0.3">
      <c r="A33" s="60" t="s">
        <v>61</v>
      </c>
      <c r="B33" s="57" t="s">
        <v>158</v>
      </c>
      <c r="C33" s="76">
        <v>534</v>
      </c>
      <c r="D33" s="52">
        <v>0</v>
      </c>
      <c r="E33" s="52">
        <v>52</v>
      </c>
      <c r="F33" s="63">
        <v>6</v>
      </c>
      <c r="G33" s="76">
        <v>440</v>
      </c>
      <c r="H33" s="52"/>
      <c r="I33" s="52">
        <v>40</v>
      </c>
      <c r="J33" s="63">
        <v>5</v>
      </c>
      <c r="K33" s="6"/>
    </row>
    <row r="34" spans="1:11" s="10" customFormat="1" ht="16.5" customHeight="1" x14ac:dyDescent="0.3">
      <c r="A34" s="60" t="s">
        <v>11</v>
      </c>
      <c r="B34" s="57" t="s">
        <v>158</v>
      </c>
      <c r="C34" s="76">
        <v>766</v>
      </c>
      <c r="D34" s="52">
        <v>0</v>
      </c>
      <c r="E34" s="52">
        <v>39</v>
      </c>
      <c r="F34" s="63">
        <v>9</v>
      </c>
      <c r="G34" s="76">
        <v>737</v>
      </c>
      <c r="H34" s="52"/>
      <c r="I34" s="52">
        <v>48</v>
      </c>
      <c r="J34" s="63">
        <v>23</v>
      </c>
      <c r="K34" s="6"/>
    </row>
    <row r="35" spans="1:11" s="10" customFormat="1" ht="16.5" customHeight="1" x14ac:dyDescent="0.3">
      <c r="A35" s="60" t="s">
        <v>106</v>
      </c>
      <c r="B35" s="57" t="s">
        <v>158</v>
      </c>
      <c r="C35" s="76">
        <v>57</v>
      </c>
      <c r="D35" s="52">
        <v>13</v>
      </c>
      <c r="E35" s="52">
        <v>0</v>
      </c>
      <c r="F35" s="63">
        <v>0</v>
      </c>
      <c r="G35" s="76">
        <v>41</v>
      </c>
      <c r="H35" s="52"/>
      <c r="I35" s="52">
        <v>7</v>
      </c>
      <c r="J35" s="63">
        <v>0</v>
      </c>
      <c r="K35" s="6"/>
    </row>
    <row r="36" spans="1:11" s="10" customFormat="1" ht="16.5" customHeight="1" x14ac:dyDescent="0.3">
      <c r="A36" s="60" t="s">
        <v>13</v>
      </c>
      <c r="B36" s="57" t="s">
        <v>158</v>
      </c>
      <c r="C36" s="76">
        <v>827</v>
      </c>
      <c r="D36" s="52">
        <v>6</v>
      </c>
      <c r="E36" s="52">
        <v>108</v>
      </c>
      <c r="F36" s="63">
        <v>0</v>
      </c>
      <c r="G36" s="76">
        <v>931</v>
      </c>
      <c r="H36" s="52"/>
      <c r="I36" s="52">
        <v>131</v>
      </c>
      <c r="J36" s="63">
        <v>1</v>
      </c>
      <c r="K36" s="6"/>
    </row>
    <row r="37" spans="1:11" s="10" customFormat="1" x14ac:dyDescent="0.3">
      <c r="A37" s="60" t="s">
        <v>62</v>
      </c>
      <c r="B37" s="57" t="s">
        <v>158</v>
      </c>
      <c r="C37" s="76">
        <v>53</v>
      </c>
      <c r="D37" s="52">
        <v>0</v>
      </c>
      <c r="E37" s="52">
        <v>0</v>
      </c>
      <c r="F37" s="63">
        <v>0</v>
      </c>
      <c r="G37" s="76">
        <v>114</v>
      </c>
      <c r="H37" s="52"/>
      <c r="I37" s="52">
        <v>0</v>
      </c>
      <c r="J37" s="63">
        <v>0</v>
      </c>
      <c r="K37" s="6"/>
    </row>
    <row r="38" spans="1:11" s="10" customFormat="1" ht="16.5" customHeight="1" x14ac:dyDescent="0.3">
      <c r="A38" s="60" t="s">
        <v>14</v>
      </c>
      <c r="B38" s="57" t="s">
        <v>158</v>
      </c>
      <c r="C38" s="76">
        <v>2553</v>
      </c>
      <c r="D38" s="52">
        <v>3</v>
      </c>
      <c r="E38" s="52">
        <v>416</v>
      </c>
      <c r="F38" s="63">
        <v>0</v>
      </c>
      <c r="G38" s="76">
        <v>2324</v>
      </c>
      <c r="H38" s="58">
        <v>1</v>
      </c>
      <c r="I38" s="52">
        <v>167</v>
      </c>
      <c r="J38" s="63">
        <v>7</v>
      </c>
      <c r="K38" s="6"/>
    </row>
    <row r="39" spans="1:11" s="10" customFormat="1" ht="16.5" customHeight="1" x14ac:dyDescent="0.3">
      <c r="A39" s="60" t="s">
        <v>21</v>
      </c>
      <c r="B39" s="57" t="s">
        <v>158</v>
      </c>
      <c r="C39" s="76">
        <v>8831</v>
      </c>
      <c r="D39" s="52">
        <v>133</v>
      </c>
      <c r="E39" s="52">
        <v>770</v>
      </c>
      <c r="F39" s="63">
        <v>8</v>
      </c>
      <c r="G39" s="76">
        <v>10462</v>
      </c>
      <c r="H39" s="58">
        <v>207</v>
      </c>
      <c r="I39" s="52">
        <v>751</v>
      </c>
      <c r="J39" s="63">
        <v>6</v>
      </c>
      <c r="K39" s="6"/>
    </row>
    <row r="40" spans="1:11" s="10" customFormat="1" ht="16.5" customHeight="1" x14ac:dyDescent="0.3">
      <c r="A40" s="60" t="s">
        <v>22</v>
      </c>
      <c r="B40" s="57" t="s">
        <v>158</v>
      </c>
      <c r="C40" s="76">
        <v>66</v>
      </c>
      <c r="D40" s="52">
        <v>0</v>
      </c>
      <c r="E40" s="52">
        <v>30</v>
      </c>
      <c r="F40" s="63">
        <v>0</v>
      </c>
      <c r="G40" s="76">
        <v>60</v>
      </c>
      <c r="H40" s="58">
        <v>13</v>
      </c>
      <c r="I40" s="52">
        <v>24</v>
      </c>
      <c r="J40" s="63">
        <v>0</v>
      </c>
      <c r="K40" s="6"/>
    </row>
    <row r="41" spans="1:11" s="10" customFormat="1" ht="16.5" customHeight="1" x14ac:dyDescent="0.3">
      <c r="A41" s="60" t="s">
        <v>25</v>
      </c>
      <c r="B41" s="57" t="s">
        <v>158</v>
      </c>
      <c r="C41" s="76">
        <v>27</v>
      </c>
      <c r="D41" s="52">
        <v>0</v>
      </c>
      <c r="E41" s="52">
        <v>0</v>
      </c>
      <c r="F41" s="63">
        <v>0</v>
      </c>
      <c r="G41" s="76">
        <v>32</v>
      </c>
      <c r="H41" s="52"/>
      <c r="I41" s="52">
        <v>0</v>
      </c>
      <c r="J41" s="63">
        <v>0</v>
      </c>
      <c r="K41" s="6"/>
    </row>
    <row r="42" spans="1:11" s="10" customFormat="1" ht="16.5" customHeight="1" x14ac:dyDescent="0.3">
      <c r="A42" s="60" t="s">
        <v>63</v>
      </c>
      <c r="B42" s="57" t="s">
        <v>158</v>
      </c>
      <c r="C42" s="76">
        <v>808</v>
      </c>
      <c r="D42" s="52">
        <v>0</v>
      </c>
      <c r="E42" s="52">
        <v>100</v>
      </c>
      <c r="F42" s="63">
        <v>0</v>
      </c>
      <c r="G42" s="76">
        <v>1273</v>
      </c>
      <c r="H42" s="52"/>
      <c r="I42" s="52">
        <v>76</v>
      </c>
      <c r="J42" s="63">
        <v>0</v>
      </c>
      <c r="K42" s="6"/>
    </row>
    <row r="43" spans="1:11" s="10" customFormat="1" ht="16.5" customHeight="1" x14ac:dyDescent="0.3">
      <c r="A43" s="60" t="s">
        <v>27</v>
      </c>
      <c r="B43" s="57" t="s">
        <v>158</v>
      </c>
      <c r="C43" s="76">
        <v>606</v>
      </c>
      <c r="D43" s="52">
        <v>0</v>
      </c>
      <c r="E43" s="52">
        <v>103</v>
      </c>
      <c r="F43" s="63">
        <v>2</v>
      </c>
      <c r="G43" s="76">
        <v>771</v>
      </c>
      <c r="H43" s="58">
        <v>99</v>
      </c>
      <c r="I43" s="52">
        <v>52</v>
      </c>
      <c r="J43" s="63">
        <v>1</v>
      </c>
      <c r="K43" s="6"/>
    </row>
    <row r="44" spans="1:11" s="10" customFormat="1" ht="16.5" customHeight="1" x14ac:dyDescent="0.3">
      <c r="A44" s="60" t="s">
        <v>44</v>
      </c>
      <c r="B44" s="57" t="s">
        <v>158</v>
      </c>
      <c r="C44" s="76">
        <v>956</v>
      </c>
      <c r="D44" s="52">
        <v>0</v>
      </c>
      <c r="E44" s="52">
        <v>360</v>
      </c>
      <c r="F44" s="63">
        <v>0</v>
      </c>
      <c r="G44" s="76">
        <v>956</v>
      </c>
      <c r="H44" s="52"/>
      <c r="I44" s="52">
        <v>359</v>
      </c>
      <c r="J44" s="63">
        <v>21</v>
      </c>
      <c r="K44" s="6"/>
    </row>
    <row r="45" spans="1:11" s="10" customFormat="1" x14ac:dyDescent="0.3">
      <c r="A45" s="60" t="s">
        <v>45</v>
      </c>
      <c r="B45" s="57" t="s">
        <v>158</v>
      </c>
      <c r="C45" s="76">
        <v>561</v>
      </c>
      <c r="D45" s="52">
        <v>0</v>
      </c>
      <c r="E45" s="58">
        <v>54</v>
      </c>
      <c r="F45" s="63">
        <v>7</v>
      </c>
      <c r="G45" s="76">
        <v>557</v>
      </c>
      <c r="H45" s="52"/>
      <c r="I45" s="58">
        <v>29</v>
      </c>
      <c r="J45" s="63">
        <v>44</v>
      </c>
      <c r="K45" s="6"/>
    </row>
    <row r="46" spans="1:11" s="10" customFormat="1" x14ac:dyDescent="0.3">
      <c r="A46" s="60" t="s">
        <v>10</v>
      </c>
      <c r="B46" s="57" t="s">
        <v>40</v>
      </c>
      <c r="C46" s="76">
        <v>0</v>
      </c>
      <c r="D46" s="52"/>
      <c r="E46" s="58">
        <v>0</v>
      </c>
      <c r="F46" s="64"/>
      <c r="G46" s="76">
        <v>35</v>
      </c>
      <c r="H46" s="52"/>
      <c r="I46" s="58">
        <v>16</v>
      </c>
      <c r="J46" s="81"/>
      <c r="K46" s="6"/>
    </row>
    <row r="47" spans="1:11" s="10" customFormat="1" x14ac:dyDescent="0.3">
      <c r="A47" s="60" t="s">
        <v>20</v>
      </c>
      <c r="B47" s="57" t="s">
        <v>40</v>
      </c>
      <c r="C47" s="76">
        <v>70</v>
      </c>
      <c r="D47" s="52"/>
      <c r="E47" s="58">
        <v>0</v>
      </c>
      <c r="F47" s="64"/>
      <c r="G47" s="76">
        <v>80</v>
      </c>
      <c r="H47" s="52"/>
      <c r="I47" s="58">
        <v>4</v>
      </c>
      <c r="J47" s="81"/>
      <c r="K47" s="6"/>
    </row>
    <row r="48" spans="1:11" s="10" customFormat="1" x14ac:dyDescent="0.3">
      <c r="A48" s="60" t="s">
        <v>29</v>
      </c>
      <c r="B48" s="57" t="s">
        <v>40</v>
      </c>
      <c r="C48" s="76">
        <v>199</v>
      </c>
      <c r="D48" s="52"/>
      <c r="E48" s="58">
        <v>13</v>
      </c>
      <c r="F48" s="64"/>
      <c r="G48" s="76">
        <v>223</v>
      </c>
      <c r="H48" s="52"/>
      <c r="I48" s="58">
        <v>75</v>
      </c>
      <c r="J48" s="81"/>
      <c r="K48" s="6"/>
    </row>
    <row r="49" spans="1:11" s="10" customFormat="1" x14ac:dyDescent="0.3">
      <c r="A49" s="60" t="s">
        <v>83</v>
      </c>
      <c r="B49" s="57" t="s">
        <v>40</v>
      </c>
      <c r="C49" s="76">
        <v>39</v>
      </c>
      <c r="D49" s="52"/>
      <c r="E49" s="52"/>
      <c r="F49" s="64"/>
      <c r="G49" s="76">
        <v>84</v>
      </c>
      <c r="H49" s="52"/>
      <c r="I49" s="52"/>
      <c r="J49" s="81"/>
      <c r="K49" s="6"/>
    </row>
    <row r="50" spans="1:11" s="10" customFormat="1" x14ac:dyDescent="0.3">
      <c r="A50" s="60" t="s">
        <v>150</v>
      </c>
      <c r="B50" s="57" t="s">
        <v>151</v>
      </c>
      <c r="C50" s="76">
        <v>39</v>
      </c>
      <c r="D50" s="58"/>
      <c r="E50" s="58">
        <v>21</v>
      </c>
      <c r="F50" s="64"/>
      <c r="G50" s="76">
        <v>32</v>
      </c>
      <c r="H50" s="52"/>
      <c r="I50" s="58">
        <v>19</v>
      </c>
      <c r="J50" s="81"/>
      <c r="K50" s="6"/>
    </row>
    <row r="51" spans="1:11" s="10" customFormat="1" x14ac:dyDescent="0.3">
      <c r="A51" s="60" t="s">
        <v>86</v>
      </c>
      <c r="B51" s="57" t="s">
        <v>151</v>
      </c>
      <c r="C51" s="76">
        <v>87</v>
      </c>
      <c r="D51" s="58"/>
      <c r="E51" s="52"/>
      <c r="F51" s="64"/>
      <c r="G51" s="76">
        <v>81</v>
      </c>
      <c r="H51" s="52"/>
      <c r="I51" s="52"/>
      <c r="J51" s="81"/>
      <c r="K51" s="6"/>
    </row>
    <row r="52" spans="1:11" s="10" customFormat="1" x14ac:dyDescent="0.3">
      <c r="A52" s="60" t="s">
        <v>87</v>
      </c>
      <c r="B52" s="57" t="s">
        <v>151</v>
      </c>
      <c r="C52" s="76">
        <v>41</v>
      </c>
      <c r="D52" s="58">
        <v>0</v>
      </c>
      <c r="E52" s="58">
        <v>41</v>
      </c>
      <c r="F52" s="64"/>
      <c r="G52" s="76">
        <v>15</v>
      </c>
      <c r="H52" s="58">
        <v>23</v>
      </c>
      <c r="I52" s="58">
        <v>12</v>
      </c>
      <c r="J52" s="81"/>
      <c r="K52" s="6"/>
    </row>
    <row r="53" spans="1:11" s="10" customFormat="1" x14ac:dyDescent="0.3">
      <c r="A53" s="60" t="s">
        <v>152</v>
      </c>
      <c r="B53" s="57" t="s">
        <v>151</v>
      </c>
      <c r="C53" s="76">
        <v>0</v>
      </c>
      <c r="D53" s="58"/>
      <c r="E53" s="52"/>
      <c r="F53" s="64"/>
      <c r="G53" s="76">
        <v>18</v>
      </c>
      <c r="H53" s="58">
        <v>97</v>
      </c>
      <c r="I53" s="52"/>
      <c r="J53" s="81"/>
      <c r="K53" s="6"/>
    </row>
    <row r="54" spans="1:11" s="10" customFormat="1" x14ac:dyDescent="0.3">
      <c r="A54" s="60" t="s">
        <v>89</v>
      </c>
      <c r="B54" s="57" t="s">
        <v>151</v>
      </c>
      <c r="C54" s="76">
        <v>54</v>
      </c>
      <c r="D54" s="58">
        <v>6</v>
      </c>
      <c r="E54" s="52"/>
      <c r="F54" s="64"/>
      <c r="G54" s="76">
        <v>145</v>
      </c>
      <c r="H54" s="58">
        <v>35</v>
      </c>
      <c r="I54" s="52"/>
      <c r="J54" s="81"/>
      <c r="K54" s="6"/>
    </row>
    <row r="55" spans="1:11" s="10" customFormat="1" x14ac:dyDescent="0.3">
      <c r="A55" s="60" t="s">
        <v>91</v>
      </c>
      <c r="B55" s="57" t="s">
        <v>151</v>
      </c>
      <c r="C55" s="76">
        <v>247</v>
      </c>
      <c r="D55" s="58"/>
      <c r="E55" s="58">
        <v>11</v>
      </c>
      <c r="F55" s="64"/>
      <c r="G55" s="76">
        <v>186</v>
      </c>
      <c r="H55" s="52"/>
      <c r="I55" s="58">
        <v>13</v>
      </c>
      <c r="J55" s="81"/>
      <c r="K55" s="6"/>
    </row>
    <row r="56" spans="1:11" s="10" customFormat="1" x14ac:dyDescent="0.3">
      <c r="A56" s="60" t="s">
        <v>92</v>
      </c>
      <c r="B56" s="57" t="s">
        <v>151</v>
      </c>
      <c r="C56" s="77">
        <v>0</v>
      </c>
      <c r="D56" s="78"/>
      <c r="E56" s="79"/>
      <c r="F56" s="80"/>
      <c r="G56" s="77">
        <v>82</v>
      </c>
      <c r="H56" s="79"/>
      <c r="I56" s="79"/>
      <c r="J56" s="82"/>
      <c r="K56" s="6"/>
    </row>
  </sheetData>
  <mergeCells count="2">
    <mergeCell ref="C2:F2"/>
    <mergeCell ref="G2:J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8805-3DDF-4143-81C2-C82B63F330EC}">
  <dimension ref="A1:J57"/>
  <sheetViews>
    <sheetView zoomScale="70" zoomScaleNormal="70" workbookViewId="0">
      <selection activeCell="F36" sqref="F36"/>
    </sheetView>
  </sheetViews>
  <sheetFormatPr defaultRowHeight="14.4" x14ac:dyDescent="0.3"/>
  <cols>
    <col min="1" max="1" width="55.5" style="1" bestFit="1" customWidth="1"/>
    <col min="2" max="2" width="34.625" style="1" bestFit="1" customWidth="1"/>
    <col min="3" max="5" width="9" style="3"/>
    <col min="6" max="6" width="55.5" style="1" bestFit="1" customWidth="1"/>
    <col min="7" max="7" width="30.125" style="1" customWidth="1"/>
    <col min="8" max="10" width="9" style="3"/>
    <col min="11" max="16384" width="9" style="1"/>
  </cols>
  <sheetData>
    <row r="1" spans="1:10" ht="15.6" x14ac:dyDescent="0.3">
      <c r="A1" s="49" t="s">
        <v>141</v>
      </c>
      <c r="B1" s="49"/>
      <c r="C1" s="50"/>
      <c r="D1" s="50"/>
      <c r="E1" s="50"/>
      <c r="F1" s="51"/>
      <c r="G1" s="51"/>
      <c r="H1" s="52"/>
      <c r="I1" s="52"/>
      <c r="J1" s="52"/>
    </row>
    <row r="2" spans="1:10" x14ac:dyDescent="0.3">
      <c r="A2" s="53" t="s">
        <v>142</v>
      </c>
      <c r="B2" s="54"/>
      <c r="C2" s="55"/>
      <c r="D2" s="55"/>
      <c r="E2" s="55"/>
      <c r="F2" s="51"/>
      <c r="G2" s="51"/>
      <c r="H2" s="52"/>
      <c r="I2" s="52"/>
      <c r="J2" s="52"/>
    </row>
    <row r="3" spans="1:10" s="69" customFormat="1" x14ac:dyDescent="0.3">
      <c r="A3" s="68">
        <v>2015</v>
      </c>
      <c r="B3" s="68" t="s">
        <v>46</v>
      </c>
      <c r="C3" s="55" t="s">
        <v>48</v>
      </c>
      <c r="D3" s="55" t="s">
        <v>36</v>
      </c>
      <c r="E3" s="55" t="s">
        <v>0</v>
      </c>
      <c r="F3" s="68">
        <v>2016</v>
      </c>
      <c r="G3" s="68" t="s">
        <v>46</v>
      </c>
      <c r="H3" s="55" t="s">
        <v>35</v>
      </c>
      <c r="I3" s="55" t="s">
        <v>36</v>
      </c>
      <c r="J3" s="55" t="s">
        <v>0</v>
      </c>
    </row>
    <row r="4" spans="1:10" s="51" customFormat="1" x14ac:dyDescent="0.3">
      <c r="A4" s="57" t="s">
        <v>7</v>
      </c>
      <c r="B4" s="57"/>
      <c r="C4" s="58">
        <v>716</v>
      </c>
      <c r="D4" s="58">
        <v>594</v>
      </c>
      <c r="E4" s="58">
        <v>1310</v>
      </c>
      <c r="F4" s="57" t="s">
        <v>7</v>
      </c>
      <c r="G4" s="57" t="s">
        <v>37</v>
      </c>
      <c r="H4" s="58">
        <v>756</v>
      </c>
      <c r="I4" s="58">
        <v>640</v>
      </c>
      <c r="J4" s="58">
        <v>1396</v>
      </c>
    </row>
    <row r="5" spans="1:10" s="51" customFormat="1" x14ac:dyDescent="0.3">
      <c r="C5" s="52"/>
      <c r="D5" s="52"/>
      <c r="E5" s="52"/>
      <c r="F5" s="57" t="s">
        <v>143</v>
      </c>
      <c r="G5" s="57" t="s">
        <v>37</v>
      </c>
      <c r="H5" s="58">
        <v>174</v>
      </c>
      <c r="I5" s="58">
        <v>177</v>
      </c>
      <c r="J5" s="58">
        <v>351</v>
      </c>
    </row>
    <row r="6" spans="1:10" s="51" customFormat="1" x14ac:dyDescent="0.3">
      <c r="A6" s="57" t="s">
        <v>52</v>
      </c>
      <c r="B6" s="57" t="s">
        <v>37</v>
      </c>
      <c r="C6" s="58">
        <v>763</v>
      </c>
      <c r="D6" s="58">
        <v>359</v>
      </c>
      <c r="E6" s="58">
        <v>1122</v>
      </c>
      <c r="F6" s="57" t="s">
        <v>52</v>
      </c>
      <c r="G6" s="57" t="s">
        <v>37</v>
      </c>
      <c r="H6" s="58">
        <v>1125</v>
      </c>
      <c r="I6" s="58">
        <v>495</v>
      </c>
      <c r="J6" s="58">
        <v>1620</v>
      </c>
    </row>
    <row r="7" spans="1:10" s="51" customFormat="1" x14ac:dyDescent="0.3">
      <c r="A7" s="57" t="s">
        <v>9</v>
      </c>
      <c r="B7" s="57" t="s">
        <v>37</v>
      </c>
      <c r="C7" s="58">
        <v>3114</v>
      </c>
      <c r="D7" s="58">
        <v>2290</v>
      </c>
      <c r="E7" s="58">
        <v>5404</v>
      </c>
      <c r="F7" s="57" t="s">
        <v>9</v>
      </c>
      <c r="G7" s="57" t="s">
        <v>37</v>
      </c>
      <c r="H7" s="58">
        <v>2507</v>
      </c>
      <c r="I7" s="58">
        <v>1911</v>
      </c>
      <c r="J7" s="58">
        <v>4418</v>
      </c>
    </row>
    <row r="8" spans="1:10" s="51" customFormat="1" x14ac:dyDescent="0.3">
      <c r="A8" s="57" t="s">
        <v>144</v>
      </c>
      <c r="B8" s="57" t="s">
        <v>37</v>
      </c>
      <c r="C8" s="58">
        <v>4043</v>
      </c>
      <c r="D8" s="58">
        <v>2400</v>
      </c>
      <c r="E8" s="58">
        <v>6443</v>
      </c>
      <c r="F8" s="57" t="s">
        <v>144</v>
      </c>
      <c r="G8" s="57" t="s">
        <v>37</v>
      </c>
      <c r="H8" s="58">
        <v>4877</v>
      </c>
      <c r="I8" s="58">
        <v>2901</v>
      </c>
      <c r="J8" s="58">
        <v>7778</v>
      </c>
    </row>
    <row r="9" spans="1:10" s="51" customFormat="1" x14ac:dyDescent="0.3">
      <c r="A9" s="59" t="s">
        <v>145</v>
      </c>
      <c r="B9" s="57" t="s">
        <v>37</v>
      </c>
      <c r="C9" s="58">
        <v>389</v>
      </c>
      <c r="D9" s="58">
        <v>236</v>
      </c>
      <c r="E9" s="58">
        <v>625</v>
      </c>
      <c r="F9" s="59" t="s">
        <v>145</v>
      </c>
      <c r="G9" s="57" t="s">
        <v>37</v>
      </c>
      <c r="H9" s="58">
        <v>504</v>
      </c>
      <c r="I9" s="58">
        <v>382</v>
      </c>
      <c r="J9" s="58">
        <v>886</v>
      </c>
    </row>
    <row r="10" spans="1:10" s="51" customFormat="1" x14ac:dyDescent="0.3">
      <c r="A10" s="57" t="s">
        <v>12</v>
      </c>
      <c r="B10" s="57" t="s">
        <v>37</v>
      </c>
      <c r="C10" s="58">
        <v>478</v>
      </c>
      <c r="D10" s="58">
        <v>345</v>
      </c>
      <c r="E10" s="58">
        <v>823</v>
      </c>
      <c r="F10" s="57" t="s">
        <v>12</v>
      </c>
      <c r="G10" s="57" t="s">
        <v>37</v>
      </c>
      <c r="H10" s="58">
        <v>490</v>
      </c>
      <c r="I10" s="58">
        <v>455</v>
      </c>
      <c r="J10" s="58">
        <v>945</v>
      </c>
    </row>
    <row r="11" spans="1:10" s="51" customFormat="1" x14ac:dyDescent="0.3">
      <c r="A11" s="57" t="s">
        <v>15</v>
      </c>
      <c r="B11" s="57" t="s">
        <v>37</v>
      </c>
      <c r="C11" s="58">
        <v>5877</v>
      </c>
      <c r="D11" s="58">
        <v>4633</v>
      </c>
      <c r="E11" s="58">
        <v>10510</v>
      </c>
      <c r="F11" s="57" t="s">
        <v>15</v>
      </c>
      <c r="G11" s="57" t="s">
        <v>37</v>
      </c>
      <c r="H11" s="58">
        <v>5332</v>
      </c>
      <c r="I11" s="58">
        <v>3702</v>
      </c>
      <c r="J11" s="58">
        <v>9034</v>
      </c>
    </row>
    <row r="12" spans="1:10" s="51" customFormat="1" x14ac:dyDescent="0.3">
      <c r="C12" s="52"/>
      <c r="D12" s="52"/>
      <c r="E12" s="52"/>
      <c r="F12" s="57" t="s">
        <v>16</v>
      </c>
      <c r="G12" s="57" t="s">
        <v>37</v>
      </c>
      <c r="H12" s="58">
        <v>304</v>
      </c>
      <c r="I12" s="58">
        <v>203</v>
      </c>
      <c r="J12" s="58">
        <v>507</v>
      </c>
    </row>
    <row r="13" spans="1:10" s="51" customFormat="1" x14ac:dyDescent="0.3">
      <c r="C13" s="52"/>
      <c r="D13" s="52"/>
      <c r="E13" s="52"/>
      <c r="F13" s="57" t="s">
        <v>18</v>
      </c>
      <c r="G13" s="57" t="s">
        <v>37</v>
      </c>
      <c r="H13" s="58">
        <v>1311</v>
      </c>
      <c r="I13" s="58">
        <v>952</v>
      </c>
      <c r="J13" s="58">
        <v>2263</v>
      </c>
    </row>
    <row r="14" spans="1:10" s="51" customFormat="1" x14ac:dyDescent="0.3">
      <c r="A14" s="57" t="s">
        <v>18</v>
      </c>
      <c r="B14" s="57" t="s">
        <v>37</v>
      </c>
      <c r="C14" s="58">
        <v>1433</v>
      </c>
      <c r="D14" s="58">
        <v>1130</v>
      </c>
      <c r="E14" s="58">
        <v>2563</v>
      </c>
      <c r="F14" s="57" t="s">
        <v>19</v>
      </c>
      <c r="G14" s="57" t="s">
        <v>37</v>
      </c>
      <c r="H14" s="58">
        <v>784</v>
      </c>
      <c r="I14" s="58">
        <v>803</v>
      </c>
      <c r="J14" s="58">
        <v>1587</v>
      </c>
    </row>
    <row r="15" spans="1:10" s="51" customFormat="1" x14ac:dyDescent="0.3">
      <c r="A15" s="57" t="s">
        <v>19</v>
      </c>
      <c r="B15" s="57" t="s">
        <v>37</v>
      </c>
      <c r="C15" s="58">
        <v>680</v>
      </c>
      <c r="D15" s="58">
        <v>807</v>
      </c>
      <c r="E15" s="58">
        <v>1487</v>
      </c>
      <c r="F15" s="57" t="s">
        <v>54</v>
      </c>
      <c r="G15" s="57" t="s">
        <v>37</v>
      </c>
      <c r="H15" s="58">
        <v>138</v>
      </c>
      <c r="I15" s="58">
        <v>73</v>
      </c>
      <c r="J15" s="58">
        <v>211</v>
      </c>
    </row>
    <row r="16" spans="1:10" s="51" customFormat="1" x14ac:dyDescent="0.3">
      <c r="A16" s="57" t="s">
        <v>53</v>
      </c>
      <c r="B16" s="57" t="s">
        <v>37</v>
      </c>
      <c r="C16" s="58">
        <v>388</v>
      </c>
      <c r="D16" s="58">
        <v>385</v>
      </c>
      <c r="E16" s="58">
        <v>773</v>
      </c>
      <c r="F16" s="57" t="s">
        <v>53</v>
      </c>
      <c r="G16" s="57" t="s">
        <v>37</v>
      </c>
      <c r="H16" s="58">
        <v>492</v>
      </c>
      <c r="I16" s="58">
        <v>470</v>
      </c>
      <c r="J16" s="58">
        <v>962</v>
      </c>
    </row>
    <row r="17" spans="1:10" s="51" customFormat="1" x14ac:dyDescent="0.3">
      <c r="A17" s="57" t="s">
        <v>71</v>
      </c>
      <c r="B17" s="57" t="s">
        <v>37</v>
      </c>
      <c r="C17" s="58">
        <v>414</v>
      </c>
      <c r="D17" s="58">
        <v>395</v>
      </c>
      <c r="E17" s="58">
        <v>809</v>
      </c>
      <c r="F17" s="57" t="s">
        <v>71</v>
      </c>
      <c r="G17" s="57" t="s">
        <v>37</v>
      </c>
      <c r="H17" s="58">
        <v>334</v>
      </c>
      <c r="I17" s="58">
        <v>205</v>
      </c>
      <c r="J17" s="58">
        <v>539</v>
      </c>
    </row>
    <row r="18" spans="1:10" s="51" customFormat="1" x14ac:dyDescent="0.3">
      <c r="A18" s="57" t="s">
        <v>146</v>
      </c>
      <c r="B18" s="57" t="s">
        <v>37</v>
      </c>
      <c r="C18" s="58">
        <v>1820</v>
      </c>
      <c r="D18" s="58">
        <v>1350</v>
      </c>
      <c r="E18" s="58">
        <v>3170</v>
      </c>
      <c r="F18" s="57" t="s">
        <v>146</v>
      </c>
      <c r="G18" s="57" t="s">
        <v>37</v>
      </c>
      <c r="H18" s="58">
        <v>1499</v>
      </c>
      <c r="I18" s="58">
        <v>1007</v>
      </c>
      <c r="J18" s="58">
        <v>2506</v>
      </c>
    </row>
    <row r="19" spans="1:10" s="51" customFormat="1" x14ac:dyDescent="0.3">
      <c r="A19" s="57" t="s">
        <v>55</v>
      </c>
      <c r="B19" s="57" t="s">
        <v>37</v>
      </c>
      <c r="C19" s="58">
        <v>1921</v>
      </c>
      <c r="D19" s="58">
        <v>1089</v>
      </c>
      <c r="E19" s="58">
        <v>3010</v>
      </c>
      <c r="F19" s="57" t="s">
        <v>55</v>
      </c>
      <c r="G19" s="57" t="s">
        <v>37</v>
      </c>
      <c r="H19" s="58">
        <v>1368</v>
      </c>
      <c r="I19" s="58">
        <v>910</v>
      </c>
      <c r="J19" s="58">
        <v>2278</v>
      </c>
    </row>
    <row r="20" spans="1:10" s="51" customFormat="1" x14ac:dyDescent="0.3">
      <c r="A20" s="57" t="s">
        <v>57</v>
      </c>
      <c r="B20" s="57" t="s">
        <v>37</v>
      </c>
      <c r="C20" s="58">
        <v>2461</v>
      </c>
      <c r="D20" s="58">
        <v>2039</v>
      </c>
      <c r="E20" s="58">
        <v>4500</v>
      </c>
      <c r="F20" s="57" t="s">
        <v>57</v>
      </c>
      <c r="G20" s="57" t="s">
        <v>37</v>
      </c>
      <c r="H20" s="58">
        <v>2819</v>
      </c>
      <c r="I20" s="58">
        <v>3964</v>
      </c>
      <c r="J20" s="58">
        <v>6783</v>
      </c>
    </row>
    <row r="21" spans="1:10" s="51" customFormat="1" x14ac:dyDescent="0.3">
      <c r="A21" s="57" t="s">
        <v>147</v>
      </c>
      <c r="B21" s="57" t="s">
        <v>37</v>
      </c>
      <c r="C21" s="58">
        <v>345</v>
      </c>
      <c r="D21" s="58">
        <v>197</v>
      </c>
      <c r="E21" s="58">
        <v>542</v>
      </c>
      <c r="F21" s="57" t="s">
        <v>147</v>
      </c>
      <c r="G21" s="57" t="s">
        <v>37</v>
      </c>
      <c r="H21" s="58">
        <v>647</v>
      </c>
      <c r="I21" s="58">
        <v>359</v>
      </c>
      <c r="J21" s="58">
        <v>1006</v>
      </c>
    </row>
    <row r="22" spans="1:10" s="51" customFormat="1" x14ac:dyDescent="0.3">
      <c r="A22" s="57" t="s">
        <v>24</v>
      </c>
      <c r="B22" s="57" t="s">
        <v>37</v>
      </c>
      <c r="C22" s="58">
        <v>43</v>
      </c>
      <c r="D22" s="58">
        <v>11</v>
      </c>
      <c r="E22" s="58">
        <v>54</v>
      </c>
      <c r="F22" s="57" t="s">
        <v>24</v>
      </c>
      <c r="G22" s="57" t="s">
        <v>37</v>
      </c>
      <c r="H22" s="58">
        <v>370</v>
      </c>
      <c r="I22" s="58">
        <v>258</v>
      </c>
      <c r="J22" s="58">
        <v>628</v>
      </c>
    </row>
    <row r="23" spans="1:10" s="51" customFormat="1" x14ac:dyDescent="0.3">
      <c r="A23" s="57" t="s">
        <v>26</v>
      </c>
      <c r="B23" s="57" t="s">
        <v>37</v>
      </c>
      <c r="C23" s="58">
        <v>241</v>
      </c>
      <c r="D23" s="58">
        <v>172</v>
      </c>
      <c r="E23" s="58">
        <v>413</v>
      </c>
      <c r="F23" s="57" t="s">
        <v>26</v>
      </c>
      <c r="G23" s="57" t="s">
        <v>37</v>
      </c>
      <c r="H23" s="58">
        <v>513</v>
      </c>
      <c r="I23" s="58">
        <v>328</v>
      </c>
      <c r="J23" s="58">
        <v>841</v>
      </c>
    </row>
    <row r="24" spans="1:10" s="51" customFormat="1" x14ac:dyDescent="0.3">
      <c r="A24" s="57" t="s">
        <v>30</v>
      </c>
      <c r="B24" s="57" t="s">
        <v>37</v>
      </c>
      <c r="C24" s="58">
        <v>872</v>
      </c>
      <c r="D24" s="58">
        <v>371</v>
      </c>
      <c r="E24" s="58">
        <v>1243</v>
      </c>
      <c r="F24" s="57" t="s">
        <v>30</v>
      </c>
      <c r="G24" s="57" t="s">
        <v>37</v>
      </c>
      <c r="H24" s="58">
        <v>1309</v>
      </c>
      <c r="I24" s="58">
        <v>592</v>
      </c>
      <c r="J24" s="58">
        <v>1901</v>
      </c>
    </row>
    <row r="25" spans="1:10" s="51" customFormat="1" x14ac:dyDescent="0.3">
      <c r="A25" s="57" t="s">
        <v>59</v>
      </c>
      <c r="B25" s="57" t="s">
        <v>37</v>
      </c>
      <c r="C25" s="58">
        <v>145</v>
      </c>
      <c r="D25" s="58">
        <v>166</v>
      </c>
      <c r="E25" s="58">
        <v>311</v>
      </c>
      <c r="F25" s="57" t="s">
        <v>59</v>
      </c>
      <c r="G25" s="57" t="s">
        <v>37</v>
      </c>
      <c r="H25" s="58">
        <v>739</v>
      </c>
      <c r="I25" s="58">
        <v>313</v>
      </c>
      <c r="J25" s="58">
        <v>1052</v>
      </c>
    </row>
    <row r="26" spans="1:10" s="51" customFormat="1" x14ac:dyDescent="0.3">
      <c r="A26" s="57" t="s">
        <v>31</v>
      </c>
      <c r="B26" s="57" t="s">
        <v>37</v>
      </c>
      <c r="C26" s="58">
        <v>1061</v>
      </c>
      <c r="D26" s="58">
        <v>903</v>
      </c>
      <c r="E26" s="58">
        <v>1964</v>
      </c>
      <c r="F26" s="57" t="s">
        <v>31</v>
      </c>
      <c r="G26" s="57" t="s">
        <v>37</v>
      </c>
      <c r="H26" s="58">
        <v>1103</v>
      </c>
      <c r="I26" s="58">
        <v>1298</v>
      </c>
      <c r="J26" s="58">
        <v>2401</v>
      </c>
    </row>
    <row r="27" spans="1:10" s="51" customFormat="1" x14ac:dyDescent="0.3">
      <c r="C27" s="52"/>
      <c r="D27" s="52"/>
      <c r="E27" s="52"/>
      <c r="F27" s="57" t="s">
        <v>32</v>
      </c>
      <c r="G27" s="57" t="s">
        <v>37</v>
      </c>
      <c r="H27" s="58">
        <v>61</v>
      </c>
      <c r="I27" s="58">
        <v>37</v>
      </c>
      <c r="J27" s="58">
        <v>98</v>
      </c>
    </row>
    <row r="28" spans="1:10" s="51" customFormat="1" x14ac:dyDescent="0.3">
      <c r="C28" s="52"/>
      <c r="D28" s="52"/>
      <c r="E28" s="52"/>
      <c r="F28" s="57" t="s">
        <v>33</v>
      </c>
      <c r="G28" s="57" t="s">
        <v>37</v>
      </c>
      <c r="H28" s="58">
        <v>1056</v>
      </c>
      <c r="I28" s="58">
        <v>528</v>
      </c>
      <c r="J28" s="58">
        <v>1584</v>
      </c>
    </row>
    <row r="29" spans="1:10" s="51" customFormat="1" x14ac:dyDescent="0.3">
      <c r="A29" s="57" t="s">
        <v>34</v>
      </c>
      <c r="B29" s="57" t="s">
        <v>37</v>
      </c>
      <c r="C29" s="58">
        <v>6363</v>
      </c>
      <c r="D29" s="58">
        <v>5125</v>
      </c>
      <c r="E29" s="58">
        <v>11488</v>
      </c>
      <c r="F29" s="57" t="s">
        <v>34</v>
      </c>
      <c r="G29" s="57" t="s">
        <v>37</v>
      </c>
      <c r="H29" s="58">
        <v>6087</v>
      </c>
      <c r="I29" s="58">
        <v>4781</v>
      </c>
      <c r="J29" s="58">
        <v>10868</v>
      </c>
    </row>
    <row r="30" spans="1:10" s="51" customFormat="1" x14ac:dyDescent="0.3">
      <c r="A30" s="60" t="s">
        <v>60</v>
      </c>
      <c r="B30" s="60" t="s">
        <v>39</v>
      </c>
      <c r="C30" s="58">
        <v>65</v>
      </c>
      <c r="D30" s="58">
        <v>1</v>
      </c>
      <c r="E30" s="58">
        <v>66</v>
      </c>
      <c r="F30" s="60" t="s">
        <v>60</v>
      </c>
      <c r="G30" s="60" t="s">
        <v>39</v>
      </c>
      <c r="H30" s="58">
        <v>30</v>
      </c>
      <c r="I30" s="58">
        <v>1</v>
      </c>
      <c r="J30" s="58">
        <v>31</v>
      </c>
    </row>
    <row r="31" spans="1:10" s="51" customFormat="1" x14ac:dyDescent="0.3">
      <c r="A31" s="60" t="s">
        <v>5</v>
      </c>
      <c r="B31" s="60" t="s">
        <v>39</v>
      </c>
      <c r="C31" s="58">
        <v>78</v>
      </c>
      <c r="D31" s="58">
        <v>42</v>
      </c>
      <c r="E31" s="58">
        <v>120</v>
      </c>
      <c r="F31" s="60" t="s">
        <v>5</v>
      </c>
      <c r="G31" s="60" t="s">
        <v>39</v>
      </c>
      <c r="H31" s="61" t="s">
        <v>148</v>
      </c>
      <c r="I31" s="58">
        <v>42</v>
      </c>
      <c r="J31" s="58">
        <v>138</v>
      </c>
    </row>
    <row r="32" spans="1:10" s="51" customFormat="1" x14ac:dyDescent="0.3">
      <c r="A32" s="60" t="s">
        <v>6</v>
      </c>
      <c r="B32" s="60" t="s">
        <v>39</v>
      </c>
      <c r="C32" s="58">
        <v>377</v>
      </c>
      <c r="D32" s="58">
        <v>612</v>
      </c>
      <c r="E32" s="58">
        <v>989</v>
      </c>
      <c r="F32" s="60" t="s">
        <v>6</v>
      </c>
      <c r="G32" s="60" t="s">
        <v>39</v>
      </c>
      <c r="H32" s="58">
        <v>397</v>
      </c>
      <c r="I32" s="58">
        <v>755</v>
      </c>
      <c r="J32" s="58">
        <v>1152</v>
      </c>
    </row>
    <row r="33" spans="1:10" s="51" customFormat="1" x14ac:dyDescent="0.3">
      <c r="A33" s="60" t="s">
        <v>8</v>
      </c>
      <c r="B33" s="60" t="s">
        <v>39</v>
      </c>
      <c r="C33" s="58">
        <v>278</v>
      </c>
      <c r="D33" s="58">
        <v>568</v>
      </c>
      <c r="E33" s="58">
        <v>846</v>
      </c>
      <c r="F33" s="60" t="s">
        <v>8</v>
      </c>
      <c r="G33" s="60" t="s">
        <v>39</v>
      </c>
      <c r="H33" s="58">
        <v>296</v>
      </c>
      <c r="I33" s="58">
        <v>620</v>
      </c>
      <c r="J33" s="58">
        <v>916</v>
      </c>
    </row>
    <row r="34" spans="1:10" s="51" customFormat="1" x14ac:dyDescent="0.3">
      <c r="A34" s="60" t="s">
        <v>61</v>
      </c>
      <c r="B34" s="60" t="s">
        <v>39</v>
      </c>
      <c r="C34" s="58">
        <v>195</v>
      </c>
      <c r="D34" s="58">
        <v>397</v>
      </c>
      <c r="E34" s="58">
        <v>592</v>
      </c>
      <c r="F34" s="60" t="s">
        <v>61</v>
      </c>
      <c r="G34" s="60" t="s">
        <v>39</v>
      </c>
      <c r="H34" s="58">
        <v>212</v>
      </c>
      <c r="I34" s="58">
        <v>273</v>
      </c>
      <c r="J34" s="58">
        <v>485</v>
      </c>
    </row>
    <row r="35" spans="1:10" s="51" customFormat="1" x14ac:dyDescent="0.3">
      <c r="A35" s="60" t="s">
        <v>11</v>
      </c>
      <c r="B35" s="60" t="s">
        <v>39</v>
      </c>
      <c r="C35" s="58">
        <v>395</v>
      </c>
      <c r="D35" s="58">
        <v>419</v>
      </c>
      <c r="E35" s="58">
        <v>814</v>
      </c>
      <c r="F35" s="60" t="s">
        <v>11</v>
      </c>
      <c r="G35" s="60" t="s">
        <v>39</v>
      </c>
      <c r="H35" s="58">
        <v>403</v>
      </c>
      <c r="I35" s="58">
        <v>405</v>
      </c>
      <c r="J35" s="58">
        <v>808</v>
      </c>
    </row>
    <row r="36" spans="1:10" s="51" customFormat="1" x14ac:dyDescent="0.3">
      <c r="A36" s="60" t="s">
        <v>106</v>
      </c>
      <c r="B36" s="60" t="s">
        <v>39</v>
      </c>
      <c r="C36" s="58">
        <v>56</v>
      </c>
      <c r="D36" s="58">
        <v>14</v>
      </c>
      <c r="E36" s="58">
        <v>70</v>
      </c>
      <c r="F36" s="60" t="s">
        <v>106</v>
      </c>
      <c r="G36" s="60" t="s">
        <v>39</v>
      </c>
      <c r="H36" s="58">
        <v>38</v>
      </c>
      <c r="I36" s="58">
        <v>10</v>
      </c>
      <c r="J36" s="58">
        <v>48</v>
      </c>
    </row>
    <row r="37" spans="1:10" s="51" customFormat="1" x14ac:dyDescent="0.3">
      <c r="A37" s="60" t="s">
        <v>13</v>
      </c>
      <c r="B37" s="60" t="s">
        <v>39</v>
      </c>
      <c r="C37" s="58">
        <v>528</v>
      </c>
      <c r="D37" s="58">
        <v>413</v>
      </c>
      <c r="E37" s="58">
        <v>941</v>
      </c>
      <c r="F37" s="60" t="s">
        <v>13</v>
      </c>
      <c r="G37" s="60" t="s">
        <v>39</v>
      </c>
      <c r="H37" s="58">
        <v>595</v>
      </c>
      <c r="I37" s="58">
        <v>468</v>
      </c>
      <c r="J37" s="58">
        <v>1063</v>
      </c>
    </row>
    <row r="38" spans="1:10" s="51" customFormat="1" x14ac:dyDescent="0.3">
      <c r="A38" s="60" t="s">
        <v>62</v>
      </c>
      <c r="B38" s="60" t="s">
        <v>39</v>
      </c>
      <c r="C38" s="58">
        <v>25</v>
      </c>
      <c r="D38" s="58">
        <v>28</v>
      </c>
      <c r="E38" s="58">
        <v>53</v>
      </c>
      <c r="F38" s="60" t="s">
        <v>62</v>
      </c>
      <c r="G38" s="60" t="s">
        <v>39</v>
      </c>
      <c r="H38" s="58">
        <v>57</v>
      </c>
      <c r="I38" s="58">
        <v>57</v>
      </c>
      <c r="J38" s="58">
        <v>114</v>
      </c>
    </row>
    <row r="39" spans="1:10" s="51" customFormat="1" x14ac:dyDescent="0.3">
      <c r="A39" s="60" t="s">
        <v>14</v>
      </c>
      <c r="B39" s="60" t="s">
        <v>39</v>
      </c>
      <c r="C39" s="58">
        <v>1222</v>
      </c>
      <c r="D39" s="58">
        <v>1750</v>
      </c>
      <c r="E39" s="58">
        <v>2972</v>
      </c>
      <c r="F39" s="60" t="s">
        <v>14</v>
      </c>
      <c r="G39" s="60" t="s">
        <v>39</v>
      </c>
      <c r="H39" s="58">
        <v>1071</v>
      </c>
      <c r="I39" s="58">
        <v>1428</v>
      </c>
      <c r="J39" s="58">
        <v>2499</v>
      </c>
    </row>
    <row r="40" spans="1:10" s="51" customFormat="1" x14ac:dyDescent="0.3">
      <c r="A40" s="60" t="s">
        <v>21</v>
      </c>
      <c r="B40" s="60" t="s">
        <v>39</v>
      </c>
      <c r="C40" s="58">
        <v>5057</v>
      </c>
      <c r="D40" s="58">
        <v>4685</v>
      </c>
      <c r="E40" s="58">
        <v>9742</v>
      </c>
      <c r="F40" s="60" t="s">
        <v>21</v>
      </c>
      <c r="G40" s="60" t="s">
        <v>39</v>
      </c>
      <c r="H40" s="58">
        <v>6137</v>
      </c>
      <c r="I40" s="58">
        <v>5289</v>
      </c>
      <c r="J40" s="58">
        <v>11426</v>
      </c>
    </row>
    <row r="41" spans="1:10" s="51" customFormat="1" x14ac:dyDescent="0.3">
      <c r="A41" s="60" t="s">
        <v>22</v>
      </c>
      <c r="B41" s="60" t="s">
        <v>39</v>
      </c>
      <c r="C41" s="58">
        <v>42</v>
      </c>
      <c r="D41" s="58">
        <v>54</v>
      </c>
      <c r="E41" s="58">
        <v>96</v>
      </c>
      <c r="F41" s="60" t="s">
        <v>22</v>
      </c>
      <c r="G41" s="60" t="s">
        <v>39</v>
      </c>
      <c r="H41" s="58">
        <v>50</v>
      </c>
      <c r="I41" s="58">
        <v>47</v>
      </c>
      <c r="J41" s="58">
        <v>97</v>
      </c>
    </row>
    <row r="42" spans="1:10" s="51" customFormat="1" x14ac:dyDescent="0.3">
      <c r="A42" s="60" t="s">
        <v>25</v>
      </c>
      <c r="B42" s="60" t="s">
        <v>39</v>
      </c>
      <c r="C42" s="58">
        <v>19</v>
      </c>
      <c r="D42" s="58">
        <v>8</v>
      </c>
      <c r="E42" s="58">
        <v>27</v>
      </c>
      <c r="F42" s="60" t="s">
        <v>25</v>
      </c>
      <c r="G42" s="60" t="s">
        <v>39</v>
      </c>
      <c r="H42" s="58">
        <v>23</v>
      </c>
      <c r="I42" s="58">
        <v>9</v>
      </c>
      <c r="J42" s="58">
        <v>32</v>
      </c>
    </row>
    <row r="43" spans="1:10" s="51" customFormat="1" x14ac:dyDescent="0.3">
      <c r="A43" s="60" t="s">
        <v>63</v>
      </c>
      <c r="B43" s="60" t="s">
        <v>39</v>
      </c>
      <c r="C43" s="58">
        <v>454</v>
      </c>
      <c r="D43" s="58">
        <v>454</v>
      </c>
      <c r="E43" s="58">
        <v>908</v>
      </c>
      <c r="F43" s="60" t="s">
        <v>63</v>
      </c>
      <c r="G43" s="60" t="s">
        <v>39</v>
      </c>
      <c r="H43" s="58">
        <v>566</v>
      </c>
      <c r="I43" s="58">
        <v>783</v>
      </c>
      <c r="J43" s="58">
        <v>1349</v>
      </c>
    </row>
    <row r="44" spans="1:10" s="51" customFormat="1" x14ac:dyDescent="0.3">
      <c r="A44" s="60" t="s">
        <v>27</v>
      </c>
      <c r="B44" s="60" t="s">
        <v>39</v>
      </c>
      <c r="C44" s="58">
        <v>365</v>
      </c>
      <c r="D44" s="58">
        <v>346</v>
      </c>
      <c r="E44" s="58">
        <v>711</v>
      </c>
      <c r="F44" s="60" t="s">
        <v>27</v>
      </c>
      <c r="G44" s="60" t="s">
        <v>39</v>
      </c>
      <c r="H44" s="58">
        <v>446</v>
      </c>
      <c r="I44" s="58">
        <v>477</v>
      </c>
      <c r="J44" s="58">
        <v>923</v>
      </c>
    </row>
    <row r="45" spans="1:10" s="51" customFormat="1" x14ac:dyDescent="0.3">
      <c r="A45" s="60" t="s">
        <v>44</v>
      </c>
      <c r="B45" s="60" t="s">
        <v>39</v>
      </c>
      <c r="C45" s="58">
        <v>559</v>
      </c>
      <c r="D45" s="58">
        <v>757</v>
      </c>
      <c r="E45" s="58">
        <v>1316</v>
      </c>
      <c r="F45" s="60" t="s">
        <v>44</v>
      </c>
      <c r="G45" s="60" t="s">
        <v>39</v>
      </c>
      <c r="H45" s="58">
        <v>543</v>
      </c>
      <c r="I45" s="58">
        <v>793</v>
      </c>
      <c r="J45" s="58">
        <v>1336</v>
      </c>
    </row>
    <row r="46" spans="1:10" s="51" customFormat="1" x14ac:dyDescent="0.3">
      <c r="A46" s="60" t="s">
        <v>149</v>
      </c>
      <c r="B46" s="60" t="s">
        <v>39</v>
      </c>
      <c r="C46" s="58">
        <v>262</v>
      </c>
      <c r="D46" s="58">
        <v>360</v>
      </c>
      <c r="E46" s="58">
        <v>622</v>
      </c>
      <c r="F46" s="60" t="s">
        <v>149</v>
      </c>
      <c r="G46" s="60" t="s">
        <v>39</v>
      </c>
      <c r="H46" s="58">
        <v>282</v>
      </c>
      <c r="I46" s="58">
        <v>348</v>
      </c>
      <c r="J46" s="58">
        <v>630</v>
      </c>
    </row>
    <row r="47" spans="1:10" s="51" customFormat="1" x14ac:dyDescent="0.3">
      <c r="A47" s="65" t="s">
        <v>10</v>
      </c>
      <c r="B47" s="66" t="s">
        <v>40</v>
      </c>
      <c r="C47" s="67">
        <v>0</v>
      </c>
      <c r="D47" s="67">
        <v>0</v>
      </c>
      <c r="E47" s="58">
        <f>SUM(C47+D47)</f>
        <v>0</v>
      </c>
      <c r="F47" s="65" t="s">
        <v>10</v>
      </c>
      <c r="G47" s="66" t="s">
        <v>40</v>
      </c>
      <c r="H47" s="67">
        <v>43</v>
      </c>
      <c r="I47" s="67">
        <v>8</v>
      </c>
      <c r="J47" s="58">
        <f>SUM(H47+I47)</f>
        <v>51</v>
      </c>
    </row>
    <row r="48" spans="1:10" s="51" customFormat="1" x14ac:dyDescent="0.3">
      <c r="A48" s="65" t="s">
        <v>20</v>
      </c>
      <c r="B48" s="66" t="s">
        <v>40</v>
      </c>
      <c r="C48" s="67">
        <v>38</v>
      </c>
      <c r="D48" s="67">
        <v>32</v>
      </c>
      <c r="E48" s="58">
        <f t="shared" ref="E48:E57" si="0">SUM(C48+D48)</f>
        <v>70</v>
      </c>
      <c r="F48" s="65" t="s">
        <v>20</v>
      </c>
      <c r="G48" s="66" t="s">
        <v>40</v>
      </c>
      <c r="H48" s="67">
        <v>52</v>
      </c>
      <c r="I48" s="67">
        <v>32</v>
      </c>
      <c r="J48" s="58">
        <f t="shared" ref="J48:J57" si="1">SUM(H48+I48)</f>
        <v>84</v>
      </c>
    </row>
    <row r="49" spans="1:10" s="51" customFormat="1" x14ac:dyDescent="0.3">
      <c r="A49" s="65" t="s">
        <v>29</v>
      </c>
      <c r="B49" s="66" t="s">
        <v>40</v>
      </c>
      <c r="C49" s="67">
        <v>151</v>
      </c>
      <c r="D49" s="67">
        <v>61</v>
      </c>
      <c r="E49" s="58">
        <f t="shared" si="0"/>
        <v>212</v>
      </c>
      <c r="F49" s="65" t="s">
        <v>29</v>
      </c>
      <c r="G49" s="66" t="s">
        <v>40</v>
      </c>
      <c r="H49" s="67">
        <v>191</v>
      </c>
      <c r="I49" s="67">
        <v>107</v>
      </c>
      <c r="J49" s="58">
        <f t="shared" si="1"/>
        <v>298</v>
      </c>
    </row>
    <row r="50" spans="1:10" s="51" customFormat="1" x14ac:dyDescent="0.3">
      <c r="A50" s="65" t="s">
        <v>83</v>
      </c>
      <c r="B50" s="66" t="s">
        <v>40</v>
      </c>
      <c r="C50" s="67">
        <v>30</v>
      </c>
      <c r="D50" s="67">
        <v>9</v>
      </c>
      <c r="E50" s="58">
        <f t="shared" si="0"/>
        <v>39</v>
      </c>
      <c r="F50" s="65" t="s">
        <v>83</v>
      </c>
      <c r="G50" s="66" t="s">
        <v>40</v>
      </c>
      <c r="H50" s="67">
        <v>34</v>
      </c>
      <c r="I50" s="67">
        <v>50</v>
      </c>
      <c r="J50" s="58">
        <f t="shared" si="1"/>
        <v>84</v>
      </c>
    </row>
    <row r="51" spans="1:10" s="51" customFormat="1" x14ac:dyDescent="0.3">
      <c r="A51" s="60" t="s">
        <v>150</v>
      </c>
      <c r="B51" s="57" t="s">
        <v>151</v>
      </c>
      <c r="C51" s="58">
        <v>26</v>
      </c>
      <c r="D51" s="58">
        <v>34</v>
      </c>
      <c r="E51" s="58">
        <f t="shared" si="0"/>
        <v>60</v>
      </c>
      <c r="F51" s="60" t="s">
        <v>150</v>
      </c>
      <c r="G51" s="57" t="s">
        <v>151</v>
      </c>
      <c r="H51" s="58">
        <v>16</v>
      </c>
      <c r="I51" s="58">
        <v>35</v>
      </c>
      <c r="J51" s="58">
        <f t="shared" si="1"/>
        <v>51</v>
      </c>
    </row>
    <row r="52" spans="1:10" s="51" customFormat="1" x14ac:dyDescent="0.3">
      <c r="A52" s="60" t="s">
        <v>86</v>
      </c>
      <c r="B52" s="57" t="s">
        <v>151</v>
      </c>
      <c r="C52" s="58">
        <v>47</v>
      </c>
      <c r="D52" s="58">
        <v>40</v>
      </c>
      <c r="E52" s="58">
        <f t="shared" si="0"/>
        <v>87</v>
      </c>
      <c r="F52" s="60" t="s">
        <v>86</v>
      </c>
      <c r="G52" s="57" t="s">
        <v>151</v>
      </c>
      <c r="H52" s="58">
        <v>39</v>
      </c>
      <c r="I52" s="58">
        <v>42</v>
      </c>
      <c r="J52" s="58">
        <f t="shared" si="1"/>
        <v>81</v>
      </c>
    </row>
    <row r="53" spans="1:10" s="51" customFormat="1" x14ac:dyDescent="0.3">
      <c r="A53" s="60" t="s">
        <v>87</v>
      </c>
      <c r="B53" s="57" t="s">
        <v>151</v>
      </c>
      <c r="C53" s="58">
        <v>56</v>
      </c>
      <c r="D53" s="58">
        <v>26</v>
      </c>
      <c r="E53" s="58">
        <f t="shared" si="0"/>
        <v>82</v>
      </c>
      <c r="F53" s="60" t="s">
        <v>87</v>
      </c>
      <c r="G53" s="57" t="s">
        <v>151</v>
      </c>
      <c r="H53" s="58">
        <v>31</v>
      </c>
      <c r="I53" s="58">
        <v>19</v>
      </c>
      <c r="J53" s="58">
        <f t="shared" si="1"/>
        <v>50</v>
      </c>
    </row>
    <row r="54" spans="1:10" s="51" customFormat="1" x14ac:dyDescent="0.3">
      <c r="A54" s="60" t="s">
        <v>152</v>
      </c>
      <c r="B54" s="57" t="s">
        <v>151</v>
      </c>
      <c r="C54" s="52">
        <v>0</v>
      </c>
      <c r="D54" s="58">
        <v>0</v>
      </c>
      <c r="E54" s="58">
        <f t="shared" si="0"/>
        <v>0</v>
      </c>
      <c r="F54" s="60" t="s">
        <v>152</v>
      </c>
      <c r="G54" s="57" t="s">
        <v>151</v>
      </c>
      <c r="H54" s="52">
        <v>0</v>
      </c>
      <c r="I54" s="58">
        <v>115</v>
      </c>
      <c r="J54" s="58">
        <f t="shared" si="1"/>
        <v>115</v>
      </c>
    </row>
    <row r="55" spans="1:10" s="51" customFormat="1" x14ac:dyDescent="0.3">
      <c r="A55" s="60" t="s">
        <v>89</v>
      </c>
      <c r="B55" s="57" t="s">
        <v>151</v>
      </c>
      <c r="C55" s="58">
        <v>31</v>
      </c>
      <c r="D55" s="58">
        <v>29</v>
      </c>
      <c r="E55" s="58">
        <f t="shared" si="0"/>
        <v>60</v>
      </c>
      <c r="F55" s="60" t="s">
        <v>89</v>
      </c>
      <c r="G55" s="57" t="s">
        <v>151</v>
      </c>
      <c r="H55" s="58">
        <v>70</v>
      </c>
      <c r="I55" s="58">
        <v>110</v>
      </c>
      <c r="J55" s="58">
        <f t="shared" si="1"/>
        <v>180</v>
      </c>
    </row>
    <row r="56" spans="1:10" s="51" customFormat="1" x14ac:dyDescent="0.3">
      <c r="A56" s="60" t="s">
        <v>91</v>
      </c>
      <c r="B56" s="57" t="s">
        <v>151</v>
      </c>
      <c r="C56" s="58">
        <v>139</v>
      </c>
      <c r="D56" s="58">
        <v>119</v>
      </c>
      <c r="E56" s="58">
        <f t="shared" si="0"/>
        <v>258</v>
      </c>
      <c r="F56" s="60" t="s">
        <v>91</v>
      </c>
      <c r="G56" s="57" t="s">
        <v>151</v>
      </c>
      <c r="H56" s="58">
        <v>102</v>
      </c>
      <c r="I56" s="58">
        <v>97</v>
      </c>
      <c r="J56" s="58">
        <f t="shared" si="1"/>
        <v>199</v>
      </c>
    </row>
    <row r="57" spans="1:10" s="51" customFormat="1" x14ac:dyDescent="0.3">
      <c r="A57" s="60" t="s">
        <v>92</v>
      </c>
      <c r="B57" s="57" t="s">
        <v>151</v>
      </c>
      <c r="C57" s="58">
        <v>0</v>
      </c>
      <c r="D57" s="58">
        <v>0</v>
      </c>
      <c r="E57" s="58">
        <f t="shared" si="0"/>
        <v>0</v>
      </c>
      <c r="F57" s="60" t="s">
        <v>92</v>
      </c>
      <c r="G57" s="57" t="s">
        <v>151</v>
      </c>
      <c r="H57" s="58">
        <v>29</v>
      </c>
      <c r="I57" s="58">
        <v>53</v>
      </c>
      <c r="J57" s="58">
        <f t="shared" si="1"/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No.OfProgram</vt:lpstr>
      <vt:lpstr>EnrolByAcademic</vt:lpstr>
      <vt:lpstr>GradByDegree</vt:lpstr>
      <vt:lpstr>GradByGender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Ting-hsuan YEH</cp:lastModifiedBy>
  <dcterms:created xsi:type="dcterms:W3CDTF">2015-06-05T18:17:20Z</dcterms:created>
  <dcterms:modified xsi:type="dcterms:W3CDTF">2025-05-29T15:16:43Z</dcterms:modified>
</cp:coreProperties>
</file>